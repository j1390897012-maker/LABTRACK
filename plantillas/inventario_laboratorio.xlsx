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1390\Downloads\"/>
    </mc:Choice>
  </mc:AlternateContent>
  <xr:revisionPtr revIDLastSave="0" documentId="13_ncr:1_{53E7B860-CE5E-4DD3-A31F-28D7B4C77860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Inventario" sheetId="1" r:id="rId1"/>
    <sheet name="Resumen" sheetId="2" r:id="rId2"/>
  </sheets>
  <definedNames>
    <definedName name="_xlnm._FilterDatabase" localSheetId="0" hidden="1">Inventario!$A$1:$J$102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0" i="1" l="1"/>
  <c r="A19" i="1"/>
  <c r="A18" i="1"/>
  <c r="A17" i="1"/>
  <c r="A16" i="1"/>
  <c r="A15" i="1"/>
  <c r="A21" i="1"/>
  <c r="A3" i="1"/>
  <c r="A4" i="1"/>
  <c r="A5" i="1"/>
  <c r="A6" i="1"/>
  <c r="A7" i="1"/>
  <c r="A8" i="1"/>
  <c r="A9" i="1"/>
  <c r="A10" i="1"/>
  <c r="A11" i="1"/>
  <c r="A12" i="1"/>
  <c r="A13" i="1"/>
  <c r="A14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2" i="1"/>
  <c r="F7" i="2"/>
  <c r="E7" i="2"/>
  <c r="D7" i="2"/>
  <c r="C7" i="2"/>
  <c r="B7" i="2"/>
  <c r="F6" i="2"/>
  <c r="E6" i="2"/>
  <c r="D6" i="2"/>
  <c r="C6" i="2"/>
  <c r="B6" i="2"/>
  <c r="F5" i="2"/>
  <c r="E5" i="2"/>
  <c r="D5" i="2"/>
  <c r="C5" i="2"/>
  <c r="B5" i="2"/>
  <c r="F4" i="2"/>
  <c r="E4" i="2"/>
  <c r="D4" i="2"/>
  <c r="C4" i="2"/>
  <c r="B4" i="2"/>
  <c r="F3" i="2"/>
  <c r="E3" i="2"/>
  <c r="D3" i="2"/>
  <c r="C3" i="2"/>
  <c r="B3" i="2"/>
  <c r="F2" i="2"/>
  <c r="E2" i="2"/>
  <c r="D2" i="2"/>
  <c r="C2" i="2"/>
  <c r="B2" i="2"/>
  <c r="D8" i="2" l="1"/>
  <c r="B8" i="2"/>
  <c r="C8" i="2"/>
  <c r="E8" i="2"/>
  <c r="F8" i="2"/>
</calcChain>
</file>

<file path=xl/sharedStrings.xml><?xml version="1.0" encoding="utf-8"?>
<sst xmlns="http://schemas.openxmlformats.org/spreadsheetml/2006/main" count="618" uniqueCount="262">
  <si>
    <t>#</t>
  </si>
  <si>
    <t>Equipo</t>
  </si>
  <si>
    <t>Código lab</t>
  </si>
  <si>
    <t>Marca</t>
  </si>
  <si>
    <t>Modelo</t>
  </si>
  <si>
    <t>Año</t>
  </si>
  <si>
    <t>N° inventario</t>
  </si>
  <si>
    <t>Estado</t>
  </si>
  <si>
    <t>Observaciones</t>
  </si>
  <si>
    <t>Fecha</t>
  </si>
  <si>
    <t>Osciloscopio digital</t>
  </si>
  <si>
    <t>Tektronix</t>
  </si>
  <si>
    <t>Sin revisar</t>
  </si>
  <si>
    <t>Hantek</t>
  </si>
  <si>
    <t>OSC-0306</t>
  </si>
  <si>
    <t>HP</t>
  </si>
  <si>
    <t>54602B</t>
  </si>
  <si>
    <t>00-S84551</t>
  </si>
  <si>
    <t>Funciona bien</t>
  </si>
  <si>
    <t>Osciloscopio analógico</t>
  </si>
  <si>
    <t>OSC-037</t>
  </si>
  <si>
    <t>HITACHI</t>
  </si>
  <si>
    <t>V-552</t>
  </si>
  <si>
    <t>00-42140</t>
  </si>
  <si>
    <t>OSC-0302</t>
  </si>
  <si>
    <t>GoldStar</t>
  </si>
  <si>
    <t>OS-7040A</t>
  </si>
  <si>
    <t>00-75870</t>
  </si>
  <si>
    <t>OSC-0303</t>
  </si>
  <si>
    <t>00-42141</t>
  </si>
  <si>
    <t>OSC-0316</t>
  </si>
  <si>
    <t>BK Precision</t>
  </si>
  <si>
    <t>2120B</t>
  </si>
  <si>
    <t>N00050783</t>
  </si>
  <si>
    <t>OSC-0315</t>
  </si>
  <si>
    <t>N00050785</t>
  </si>
  <si>
    <t>OSC-0313</t>
  </si>
  <si>
    <t>N00050781</t>
  </si>
  <si>
    <t>OSC-0318</t>
  </si>
  <si>
    <t>N00103430</t>
  </si>
  <si>
    <t>OSC-0314</t>
  </si>
  <si>
    <t>N00050780</t>
  </si>
  <si>
    <t>OSC-0322</t>
  </si>
  <si>
    <t>N00103434</t>
  </si>
  <si>
    <t>OSC-0317</t>
  </si>
  <si>
    <t>N00103429</t>
  </si>
  <si>
    <t>OSC-0308</t>
  </si>
  <si>
    <t>N00050777</t>
  </si>
  <si>
    <t>OSC-0323</t>
  </si>
  <si>
    <t>N00103435</t>
  </si>
  <si>
    <t>OSC-0309</t>
  </si>
  <si>
    <t>N00050775</t>
  </si>
  <si>
    <t>No funciona</t>
  </si>
  <si>
    <t>DUAL PERMANENTE</t>
  </si>
  <si>
    <t>OSC-0320</t>
  </si>
  <si>
    <t>N00103432</t>
  </si>
  <si>
    <t>NO ENCIENDE</t>
  </si>
  <si>
    <t>OSC-0311</t>
  </si>
  <si>
    <t>N00050784</t>
  </si>
  <si>
    <t>OSC-0305</t>
  </si>
  <si>
    <t>OSC-0321</t>
  </si>
  <si>
    <t>N000103433</t>
  </si>
  <si>
    <t>OSC-0319</t>
  </si>
  <si>
    <t>N000103431</t>
  </si>
  <si>
    <t>Generador de funciones digital</t>
  </si>
  <si>
    <t>GEN-0538</t>
  </si>
  <si>
    <t>HDG3000B</t>
  </si>
  <si>
    <t>438187</t>
  </si>
  <si>
    <t>GEN-0539</t>
  </si>
  <si>
    <t>438188</t>
  </si>
  <si>
    <t>GEN-0529</t>
  </si>
  <si>
    <t>AFG3021C</t>
  </si>
  <si>
    <t>N00157672</t>
  </si>
  <si>
    <t>GENERA RUIDO</t>
  </si>
  <si>
    <t>GEN-0522</t>
  </si>
  <si>
    <t>AFG3021B</t>
  </si>
  <si>
    <t>N00123041</t>
  </si>
  <si>
    <t>NO ENTREGA EL VOLTAJE CONFIGURADO</t>
  </si>
  <si>
    <t>GEN-0530</t>
  </si>
  <si>
    <t>N00177673</t>
  </si>
  <si>
    <t>GEN-0525</t>
  </si>
  <si>
    <t>N00140422</t>
  </si>
  <si>
    <t>GEN-0523</t>
  </si>
  <si>
    <t>N00123024</t>
  </si>
  <si>
    <t>PANTALLA DAÑADA</t>
  </si>
  <si>
    <t>GEN-0533</t>
  </si>
  <si>
    <t>N00162252</t>
  </si>
  <si>
    <t>GEN-0519</t>
  </si>
  <si>
    <t>N00123038</t>
  </si>
  <si>
    <t>Funciona parcialmente</t>
  </si>
  <si>
    <t>PANTALLA DAÑADA Y PERILLA DAÑANA</t>
  </si>
  <si>
    <t>GEN-0536</t>
  </si>
  <si>
    <t>N00169833</t>
  </si>
  <si>
    <t>GEN-0527</t>
  </si>
  <si>
    <t>N00140424</t>
  </si>
  <si>
    <t>GEN-0526</t>
  </si>
  <si>
    <t>N00140423</t>
  </si>
  <si>
    <t>PANTALLA DAÑADA Y NO ENTREGA EL VOLTAJE CONFIGURADO</t>
  </si>
  <si>
    <t>GEN-0534</t>
  </si>
  <si>
    <t>N00162251</t>
  </si>
  <si>
    <t>NO FUNCIONA NADA</t>
  </si>
  <si>
    <t>GEN-0537</t>
  </si>
  <si>
    <t>N00171288</t>
  </si>
  <si>
    <t>GEN-0532</t>
  </si>
  <si>
    <t>N00157675</t>
  </si>
  <si>
    <t>GEN-0531</t>
  </si>
  <si>
    <t>N00157674</t>
  </si>
  <si>
    <t>GEN-0518</t>
  </si>
  <si>
    <t>N00123037</t>
  </si>
  <si>
    <t>SALIDA DAÑADA</t>
  </si>
  <si>
    <t>GEN-0521</t>
  </si>
  <si>
    <t>N00123040</t>
  </si>
  <si>
    <t>Generador de funciones analógico</t>
  </si>
  <si>
    <t>GEN-0509</t>
  </si>
  <si>
    <t>4010A</t>
  </si>
  <si>
    <t>N00050772</t>
  </si>
  <si>
    <t>GEN-0515</t>
  </si>
  <si>
    <t>REFRIMAQ</t>
  </si>
  <si>
    <t>GF800</t>
  </si>
  <si>
    <t>N00055614</t>
  </si>
  <si>
    <t>GEN-0528</t>
  </si>
  <si>
    <t>FG-8002</t>
  </si>
  <si>
    <t>T00044999</t>
  </si>
  <si>
    <t>GEN-0507</t>
  </si>
  <si>
    <t>N00050774</t>
  </si>
  <si>
    <t>GEN-0508</t>
  </si>
  <si>
    <t>N00050770</t>
  </si>
  <si>
    <t>GEN-0506</t>
  </si>
  <si>
    <t>N00050771</t>
  </si>
  <si>
    <t>GEN-0514</t>
  </si>
  <si>
    <t>N00055613</t>
  </si>
  <si>
    <t>GEN-0513</t>
  </si>
  <si>
    <t>N00055612</t>
  </si>
  <si>
    <t>GEN-0510</t>
  </si>
  <si>
    <t>N00050773</t>
  </si>
  <si>
    <t>GEN-0516</t>
  </si>
  <si>
    <t>T00044997</t>
  </si>
  <si>
    <t>Fuente de alimentación</t>
  </si>
  <si>
    <t>FUE1805</t>
  </si>
  <si>
    <t>N00122324</t>
  </si>
  <si>
    <t>FUE1804</t>
  </si>
  <si>
    <t>N00122323</t>
  </si>
  <si>
    <t>FUE1806</t>
  </si>
  <si>
    <t>N00122325</t>
  </si>
  <si>
    <t>SOLO FUNCIONA UN CANAL</t>
  </si>
  <si>
    <t>Multímetro</t>
  </si>
  <si>
    <t>MUL0113</t>
  </si>
  <si>
    <t>2890A</t>
  </si>
  <si>
    <t>N00112829</t>
  </si>
  <si>
    <t>No mide corriente</t>
  </si>
  <si>
    <t>MUL0123</t>
  </si>
  <si>
    <t>N00121972</t>
  </si>
  <si>
    <t>Medicion de voltaje erronea</t>
  </si>
  <si>
    <t>MUL107</t>
  </si>
  <si>
    <t>Fluke</t>
  </si>
  <si>
    <t>8060A</t>
  </si>
  <si>
    <t>T00045037</t>
  </si>
  <si>
    <t>MUL126</t>
  </si>
  <si>
    <t>N00121968</t>
  </si>
  <si>
    <t>MUL0108</t>
  </si>
  <si>
    <t>WaVetek</t>
  </si>
  <si>
    <t>T00045041</t>
  </si>
  <si>
    <t>MUL0106</t>
  </si>
  <si>
    <t>T00045039</t>
  </si>
  <si>
    <t>MUL0109</t>
  </si>
  <si>
    <t>T00045038</t>
  </si>
  <si>
    <t>MUL0111</t>
  </si>
  <si>
    <t>89IV</t>
  </si>
  <si>
    <t>00-594699</t>
  </si>
  <si>
    <t>No mide corriente y resistencia</t>
  </si>
  <si>
    <t>MUL0112</t>
  </si>
  <si>
    <t>00-594698</t>
  </si>
  <si>
    <t>No sirve</t>
  </si>
  <si>
    <t>MUL0121</t>
  </si>
  <si>
    <t>N00121970</t>
  </si>
  <si>
    <t>MUL0117</t>
  </si>
  <si>
    <t>N00121965</t>
  </si>
  <si>
    <t>MUL0122</t>
  </si>
  <si>
    <t>N00121971</t>
  </si>
  <si>
    <t>MUL0114</t>
  </si>
  <si>
    <t>N00112828</t>
  </si>
  <si>
    <t>MUL0115</t>
  </si>
  <si>
    <t>N00121964</t>
  </si>
  <si>
    <t>MUL0120</t>
  </si>
  <si>
    <t>N00121969</t>
  </si>
  <si>
    <t>MUL0124</t>
  </si>
  <si>
    <t>N00121973</t>
  </si>
  <si>
    <t>MUL0125</t>
  </si>
  <si>
    <t>N00121974</t>
  </si>
  <si>
    <t>MUL0119</t>
  </si>
  <si>
    <t>N00121975</t>
  </si>
  <si>
    <t>Requiere puntas nuevas</t>
  </si>
  <si>
    <t>FUE1824</t>
  </si>
  <si>
    <t>GW INSTEK</t>
  </si>
  <si>
    <t>GPC-1850D</t>
  </si>
  <si>
    <t>N00172186</t>
  </si>
  <si>
    <t>FUE1827</t>
  </si>
  <si>
    <t>N00172162</t>
  </si>
  <si>
    <t>FUE1825</t>
  </si>
  <si>
    <t>N00172160</t>
  </si>
  <si>
    <t>FUE1826</t>
  </si>
  <si>
    <t>N00172161</t>
  </si>
  <si>
    <t>FUE1828</t>
  </si>
  <si>
    <t>N00171161</t>
  </si>
  <si>
    <t>FUE1812</t>
  </si>
  <si>
    <t>N00122331</t>
  </si>
  <si>
    <t>FUE1807</t>
  </si>
  <si>
    <t>FUE1801</t>
  </si>
  <si>
    <t>N00122320</t>
  </si>
  <si>
    <t>FUE1810</t>
  </si>
  <si>
    <t>N00122329</t>
  </si>
  <si>
    <t>FUE1808</t>
  </si>
  <si>
    <t>N00122327</t>
  </si>
  <si>
    <t>FUE1802</t>
  </si>
  <si>
    <t>N00122321</t>
  </si>
  <si>
    <t>Categoría</t>
  </si>
  <si>
    <t>Total</t>
  </si>
  <si>
    <t>TOTAL</t>
  </si>
  <si>
    <t>Solo cuenta filas con Marca llena (las filas vacías de plantilla no cuentan).</t>
  </si>
  <si>
    <t>N0022326</t>
  </si>
  <si>
    <t>OSC-0340</t>
  </si>
  <si>
    <t>TDS 2022C</t>
  </si>
  <si>
    <t>N00162254</t>
  </si>
  <si>
    <t>OSC-0338</t>
  </si>
  <si>
    <t>N00162256</t>
  </si>
  <si>
    <t>OSC-0335</t>
  </si>
  <si>
    <t>N00154084</t>
  </si>
  <si>
    <t>OSC-0328</t>
  </si>
  <si>
    <t>N00123035</t>
  </si>
  <si>
    <t>OSC-0345</t>
  </si>
  <si>
    <t>DSO2D10</t>
  </si>
  <si>
    <t>OSC-0333</t>
  </si>
  <si>
    <t>N00154085</t>
  </si>
  <si>
    <t>OSC-0329</t>
  </si>
  <si>
    <t>TDS 2022B</t>
  </si>
  <si>
    <t>N00123036</t>
  </si>
  <si>
    <t>OSC-0343</t>
  </si>
  <si>
    <t>WELLZION</t>
  </si>
  <si>
    <t>SmartDS 8202</t>
  </si>
  <si>
    <t>N00172765</t>
  </si>
  <si>
    <t>OSC-0327</t>
  </si>
  <si>
    <t>N00123034</t>
  </si>
  <si>
    <t>OSC-0337</t>
  </si>
  <si>
    <t>N00162255</t>
  </si>
  <si>
    <t>OSC-0326</t>
  </si>
  <si>
    <t>N00162257</t>
  </si>
  <si>
    <t>OSC-0342</t>
  </si>
  <si>
    <t>N00169079</t>
  </si>
  <si>
    <t>OSC-0330</t>
  </si>
  <si>
    <t>N00148960</t>
  </si>
  <si>
    <t>OSC-0331</t>
  </si>
  <si>
    <t>N00148959</t>
  </si>
  <si>
    <t>OSC-0334</t>
  </si>
  <si>
    <t>N00154083</t>
  </si>
  <si>
    <t>OSC-0339</t>
  </si>
  <si>
    <t>N00162253</t>
  </si>
  <si>
    <t>FALLA EN PANTALLA</t>
  </si>
  <si>
    <t>OSC-0341</t>
  </si>
  <si>
    <t>N00169070</t>
  </si>
  <si>
    <t>OSC-0344</t>
  </si>
  <si>
    <t>OSC-0324</t>
  </si>
  <si>
    <t>OSC-0307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</si>
</sst>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u/>
      <sz val="10"/>
      <name val="Arial"/>
      <family val="2"/>
      <charset val="1"/>
    </font>
    <font>
      <b/>
      <sz val="10"/>
      <name val="Arial"/>
      <family val="2"/>
    </font>
    <font>
      <i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 wrapText="1"/>
    </xf>
    <xf numFmtId="164" fontId="3" fillId="3" borderId="1" xfId="0" applyNumberFormat="1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0" xfId="0" applyFont="1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4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b/>
      </font>
      <fill>
        <patternFill>
          <bgColor rgb="FFF4B18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4B183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L102"/>
  <sheetViews>
    <sheetView tabSelected="1" zoomScale="127" zoomScaleNormal="127" workbookViewId="0">
      <pane xSplit="3" ySplit="1" topLeftCell="D20" activePane="bottomRight" state="frozen"/>
      <selection pane="topRight" activeCell="D1" sqref="D1"/>
      <selection pane="bottomLeft" activeCell="A2" sqref="A2"/>
      <selection pane="bottomRight" activeCell="C53" sqref="C53"/>
    </sheetView>
  </sheetViews>
  <sheetFormatPr defaultColWidth="8.77734375" defaultRowHeight="14.4" x14ac:dyDescent="0.3"/>
  <cols>
    <col min="1" max="1" width="5" customWidth="1"/>
    <col min="2" max="2" width="34" customWidth="1"/>
    <col min="3" max="3" width="14" customWidth="1"/>
    <col min="4" max="5" width="16" customWidth="1"/>
    <col min="6" max="6" width="7" customWidth="1"/>
    <col min="7" max="7" width="16" customWidth="1"/>
    <col min="8" max="8" width="22" customWidth="1"/>
    <col min="9" max="9" width="48" customWidth="1"/>
    <col min="10" max="10" width="12" customWidth="1"/>
  </cols>
  <sheetData>
    <row r="1" spans="1:12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</row>
    <row r="2" spans="1:12" x14ac:dyDescent="0.3">
      <c r="A2" s="2">
        <f t="shared" ref="A2:A72" si="0">IF(B2="","",ROW()-1)</f>
        <v>1</v>
      </c>
      <c r="B2" s="3" t="s">
        <v>10</v>
      </c>
      <c r="C2" s="15" t="s">
        <v>220</v>
      </c>
      <c r="D2" s="3" t="s">
        <v>11</v>
      </c>
      <c r="E2" s="15" t="s">
        <v>221</v>
      </c>
      <c r="F2" s="4">
        <v>2010</v>
      </c>
      <c r="G2" s="16" t="s">
        <v>222</v>
      </c>
      <c r="H2" s="3" t="s">
        <v>12</v>
      </c>
      <c r="I2" s="6"/>
      <c r="J2" s="7"/>
      <c r="K2" s="3"/>
      <c r="L2" s="6"/>
    </row>
    <row r="3" spans="1:12" x14ac:dyDescent="0.3">
      <c r="A3" s="2">
        <f t="shared" si="0"/>
        <v>2</v>
      </c>
      <c r="B3" s="3" t="s">
        <v>10</v>
      </c>
      <c r="C3" s="15" t="s">
        <v>223</v>
      </c>
      <c r="D3" s="3" t="s">
        <v>11</v>
      </c>
      <c r="E3" s="15" t="s">
        <v>221</v>
      </c>
      <c r="F3" s="4">
        <v>2010</v>
      </c>
      <c r="G3" s="16" t="s">
        <v>224</v>
      </c>
      <c r="H3" s="3" t="s">
        <v>12</v>
      </c>
      <c r="I3" s="6"/>
      <c r="J3" s="7"/>
      <c r="K3" s="3"/>
      <c r="L3" s="6"/>
    </row>
    <row r="4" spans="1:12" x14ac:dyDescent="0.3">
      <c r="A4" s="2">
        <f t="shared" si="0"/>
        <v>3</v>
      </c>
      <c r="B4" s="3" t="s">
        <v>10</v>
      </c>
      <c r="C4" s="15" t="s">
        <v>225</v>
      </c>
      <c r="D4" s="3" t="s">
        <v>11</v>
      </c>
      <c r="E4" s="15" t="s">
        <v>221</v>
      </c>
      <c r="F4" s="4">
        <v>2010</v>
      </c>
      <c r="G4" s="16" t="s">
        <v>226</v>
      </c>
      <c r="H4" s="3" t="s">
        <v>12</v>
      </c>
      <c r="I4" s="6"/>
      <c r="J4" s="7"/>
      <c r="K4" s="3"/>
      <c r="L4" s="6"/>
    </row>
    <row r="5" spans="1:12" x14ac:dyDescent="0.3">
      <c r="A5" s="2">
        <f t="shared" si="0"/>
        <v>4</v>
      </c>
      <c r="B5" s="3" t="s">
        <v>10</v>
      </c>
      <c r="C5" s="15" t="s">
        <v>227</v>
      </c>
      <c r="D5" s="3" t="s">
        <v>11</v>
      </c>
      <c r="E5" s="15" t="s">
        <v>221</v>
      </c>
      <c r="F5" s="4">
        <v>2010</v>
      </c>
      <c r="G5" s="16" t="s">
        <v>228</v>
      </c>
      <c r="H5" s="3" t="s">
        <v>12</v>
      </c>
      <c r="I5" s="6"/>
      <c r="J5" s="7"/>
      <c r="K5" s="3"/>
      <c r="L5" s="6"/>
    </row>
    <row r="6" spans="1:12" x14ac:dyDescent="0.3">
      <c r="A6" s="2">
        <f t="shared" si="0"/>
        <v>5</v>
      </c>
      <c r="B6" s="3" t="s">
        <v>10</v>
      </c>
      <c r="C6" s="15" t="s">
        <v>229</v>
      </c>
      <c r="D6" s="15" t="s">
        <v>13</v>
      </c>
      <c r="E6" s="15" t="s">
        <v>230</v>
      </c>
      <c r="F6" s="4">
        <v>2020</v>
      </c>
      <c r="G6" s="5">
        <v>438194</v>
      </c>
      <c r="H6" s="3" t="s">
        <v>12</v>
      </c>
      <c r="I6" s="6"/>
      <c r="J6" s="7"/>
      <c r="K6" s="3"/>
      <c r="L6" s="6"/>
    </row>
    <row r="7" spans="1:12" x14ac:dyDescent="0.3">
      <c r="A7" s="2">
        <f t="shared" si="0"/>
        <v>6</v>
      </c>
      <c r="B7" s="3" t="s">
        <v>10</v>
      </c>
      <c r="C7" s="15" t="s">
        <v>233</v>
      </c>
      <c r="D7" s="15" t="s">
        <v>11</v>
      </c>
      <c r="E7" s="15" t="s">
        <v>234</v>
      </c>
      <c r="F7" s="4">
        <v>2005</v>
      </c>
      <c r="G7" s="16" t="s">
        <v>235</v>
      </c>
      <c r="H7" s="3" t="s">
        <v>12</v>
      </c>
      <c r="I7" s="6"/>
      <c r="J7" s="7"/>
      <c r="K7" s="3"/>
      <c r="L7" s="6"/>
    </row>
    <row r="8" spans="1:12" x14ac:dyDescent="0.3">
      <c r="A8" s="2">
        <f t="shared" si="0"/>
        <v>7</v>
      </c>
      <c r="B8" s="3" t="s">
        <v>10</v>
      </c>
      <c r="C8" s="15" t="s">
        <v>231</v>
      </c>
      <c r="D8" s="15" t="s">
        <v>11</v>
      </c>
      <c r="E8" s="15" t="s">
        <v>221</v>
      </c>
      <c r="F8" s="4">
        <v>2010</v>
      </c>
      <c r="G8" s="16" t="s">
        <v>232</v>
      </c>
      <c r="H8" s="3" t="s">
        <v>12</v>
      </c>
      <c r="I8" s="6"/>
      <c r="J8" s="7"/>
      <c r="K8" s="3"/>
      <c r="L8" s="6"/>
    </row>
    <row r="9" spans="1:12" x14ac:dyDescent="0.3">
      <c r="A9" s="2">
        <f t="shared" si="0"/>
        <v>8</v>
      </c>
      <c r="B9" s="3" t="s">
        <v>10</v>
      </c>
      <c r="C9" s="15" t="s">
        <v>236</v>
      </c>
      <c r="D9" s="15" t="s">
        <v>237</v>
      </c>
      <c r="E9" s="15" t="s">
        <v>238</v>
      </c>
      <c r="F9" s="4">
        <v>2011</v>
      </c>
      <c r="G9" s="16" t="s">
        <v>239</v>
      </c>
      <c r="H9" s="3" t="s">
        <v>12</v>
      </c>
      <c r="I9" s="6"/>
      <c r="J9" s="7"/>
      <c r="K9" s="3"/>
      <c r="L9" s="6"/>
    </row>
    <row r="10" spans="1:12" x14ac:dyDescent="0.3">
      <c r="A10" s="2">
        <f t="shared" si="0"/>
        <v>9</v>
      </c>
      <c r="B10" s="3" t="s">
        <v>10</v>
      </c>
      <c r="C10" s="15" t="s">
        <v>248</v>
      </c>
      <c r="D10" s="15" t="s">
        <v>11</v>
      </c>
      <c r="E10" s="15" t="s">
        <v>221</v>
      </c>
      <c r="F10" s="4">
        <v>2010</v>
      </c>
      <c r="G10" s="16" t="s">
        <v>249</v>
      </c>
      <c r="H10" s="3" t="s">
        <v>12</v>
      </c>
      <c r="I10" s="6"/>
      <c r="J10" s="7"/>
      <c r="K10" s="3"/>
      <c r="L10" s="6"/>
    </row>
    <row r="11" spans="1:12" x14ac:dyDescent="0.3">
      <c r="A11" s="2">
        <f t="shared" si="0"/>
        <v>10</v>
      </c>
      <c r="B11" s="3" t="s">
        <v>10</v>
      </c>
      <c r="C11" s="15" t="s">
        <v>246</v>
      </c>
      <c r="D11" s="15" t="s">
        <v>11</v>
      </c>
      <c r="E11" s="15" t="s">
        <v>221</v>
      </c>
      <c r="F11" s="4">
        <v>2010</v>
      </c>
      <c r="G11" s="16" t="s">
        <v>247</v>
      </c>
      <c r="H11" s="3" t="s">
        <v>12</v>
      </c>
      <c r="I11" s="6"/>
      <c r="J11" s="7"/>
      <c r="K11" s="3"/>
      <c r="L11" s="6"/>
    </row>
    <row r="12" spans="1:12" x14ac:dyDescent="0.3">
      <c r="A12" s="2">
        <f t="shared" si="0"/>
        <v>11</v>
      </c>
      <c r="B12" s="3" t="s">
        <v>10</v>
      </c>
      <c r="C12" s="15" t="s">
        <v>244</v>
      </c>
      <c r="D12" s="15" t="s">
        <v>11</v>
      </c>
      <c r="E12" s="15" t="s">
        <v>221</v>
      </c>
      <c r="F12" s="4">
        <v>2010</v>
      </c>
      <c r="G12" s="16" t="s">
        <v>245</v>
      </c>
      <c r="H12" s="3" t="s">
        <v>12</v>
      </c>
      <c r="I12" s="6"/>
      <c r="J12" s="7"/>
      <c r="K12" s="3"/>
      <c r="L12" s="6"/>
    </row>
    <row r="13" spans="1:12" x14ac:dyDescent="0.3">
      <c r="A13" s="2">
        <f t="shared" si="0"/>
        <v>12</v>
      </c>
      <c r="B13" s="3" t="s">
        <v>10</v>
      </c>
      <c r="C13" s="15" t="s">
        <v>242</v>
      </c>
      <c r="D13" s="15" t="s">
        <v>11</v>
      </c>
      <c r="E13" s="15" t="s">
        <v>221</v>
      </c>
      <c r="F13" s="4">
        <v>2010</v>
      </c>
      <c r="G13" s="16" t="s">
        <v>243</v>
      </c>
      <c r="H13" s="3" t="s">
        <v>12</v>
      </c>
      <c r="I13" s="6"/>
      <c r="J13" s="7"/>
      <c r="K13" s="3"/>
      <c r="L13" s="6"/>
    </row>
    <row r="14" spans="1:12" x14ac:dyDescent="0.3">
      <c r="A14" s="2">
        <f t="shared" si="0"/>
        <v>13</v>
      </c>
      <c r="B14" s="3" t="s">
        <v>10</v>
      </c>
      <c r="C14" s="15" t="s">
        <v>240</v>
      </c>
      <c r="D14" s="15" t="s">
        <v>11</v>
      </c>
      <c r="E14" s="15" t="s">
        <v>234</v>
      </c>
      <c r="F14" s="4">
        <v>2005</v>
      </c>
      <c r="G14" s="16" t="s">
        <v>241</v>
      </c>
      <c r="H14" s="3" t="s">
        <v>12</v>
      </c>
      <c r="I14" s="6"/>
      <c r="J14" s="7"/>
      <c r="K14" s="3"/>
      <c r="L14" s="6"/>
    </row>
    <row r="15" spans="1:12" x14ac:dyDescent="0.3">
      <c r="A15" s="2">
        <f t="shared" si="0"/>
        <v>14</v>
      </c>
      <c r="B15" s="3" t="s">
        <v>10</v>
      </c>
      <c r="C15" s="15" t="s">
        <v>252</v>
      </c>
      <c r="D15" s="15" t="s">
        <v>11</v>
      </c>
      <c r="E15" s="15" t="s">
        <v>221</v>
      </c>
      <c r="F15" s="4">
        <v>2010</v>
      </c>
      <c r="G15" s="16" t="s">
        <v>253</v>
      </c>
      <c r="H15" s="3" t="s">
        <v>12</v>
      </c>
      <c r="I15" s="6"/>
      <c r="J15" s="7"/>
      <c r="K15" s="3"/>
      <c r="L15" s="6"/>
    </row>
    <row r="16" spans="1:12" x14ac:dyDescent="0.3">
      <c r="A16" s="2">
        <f t="shared" si="0"/>
        <v>15</v>
      </c>
      <c r="B16" s="3" t="s">
        <v>10</v>
      </c>
      <c r="C16" s="15" t="s">
        <v>254</v>
      </c>
      <c r="D16" s="15" t="s">
        <v>11</v>
      </c>
      <c r="E16" s="15" t="s">
        <v>221</v>
      </c>
      <c r="F16" s="4">
        <v>2010</v>
      </c>
      <c r="G16" s="16" t="s">
        <v>255</v>
      </c>
      <c r="H16" s="3" t="s">
        <v>52</v>
      </c>
      <c r="I16" s="17" t="s">
        <v>256</v>
      </c>
      <c r="J16" s="7"/>
      <c r="K16" s="3"/>
      <c r="L16" s="6"/>
    </row>
    <row r="17" spans="1:12" x14ac:dyDescent="0.3">
      <c r="A17" s="2">
        <f t="shared" si="0"/>
        <v>16</v>
      </c>
      <c r="B17" s="3" t="s">
        <v>10</v>
      </c>
      <c r="C17" s="15" t="s">
        <v>257</v>
      </c>
      <c r="D17" s="15" t="s">
        <v>11</v>
      </c>
      <c r="E17" s="15" t="s">
        <v>221</v>
      </c>
      <c r="F17" s="4">
        <v>2010</v>
      </c>
      <c r="G17" s="16" t="s">
        <v>258</v>
      </c>
      <c r="H17" s="3" t="s">
        <v>12</v>
      </c>
      <c r="I17" s="6"/>
      <c r="J17" s="7"/>
      <c r="K17" s="3"/>
      <c r="L17" s="6"/>
    </row>
    <row r="18" spans="1:12" x14ac:dyDescent="0.3">
      <c r="A18" s="2">
        <f t="shared" si="0"/>
        <v>17</v>
      </c>
      <c r="B18" s="3" t="s">
        <v>10</v>
      </c>
      <c r="C18" s="15" t="s">
        <v>259</v>
      </c>
      <c r="D18" s="15"/>
      <c r="E18" s="15"/>
      <c r="F18" s="4"/>
      <c r="G18" s="16"/>
      <c r="H18" s="3"/>
      <c r="I18" s="6"/>
      <c r="J18" s="7"/>
      <c r="K18" s="3"/>
      <c r="L18" s="6"/>
    </row>
    <row r="19" spans="1:12" x14ac:dyDescent="0.3">
      <c r="A19" s="2">
        <f t="shared" si="0"/>
        <v>18</v>
      </c>
      <c r="B19" s="3" t="s">
        <v>10</v>
      </c>
      <c r="C19" s="15" t="s">
        <v>260</v>
      </c>
      <c r="D19" s="15"/>
      <c r="E19" s="15"/>
      <c r="F19" s="4"/>
      <c r="G19" s="16"/>
      <c r="H19" s="3"/>
      <c r="I19" s="6"/>
      <c r="J19" s="7"/>
      <c r="K19" s="3"/>
      <c r="L19" s="6"/>
    </row>
    <row r="20" spans="1:12" x14ac:dyDescent="0.3">
      <c r="A20" s="2">
        <f t="shared" si="0"/>
        <v>19</v>
      </c>
      <c r="B20" s="3" t="s">
        <v>10</v>
      </c>
      <c r="C20" s="15" t="s">
        <v>261</v>
      </c>
      <c r="D20" s="15"/>
      <c r="E20" s="15"/>
      <c r="F20" s="4"/>
      <c r="G20" s="16"/>
      <c r="H20" s="3"/>
      <c r="I20" s="6"/>
      <c r="J20" s="7"/>
      <c r="K20" s="3"/>
      <c r="L20" s="6"/>
    </row>
    <row r="21" spans="1:12" x14ac:dyDescent="0.3">
      <c r="A21" s="2">
        <f t="shared" si="0"/>
        <v>20</v>
      </c>
      <c r="B21" s="3" t="s">
        <v>10</v>
      </c>
      <c r="C21" s="15" t="s">
        <v>250</v>
      </c>
      <c r="D21" s="15" t="s">
        <v>11</v>
      </c>
      <c r="E21" s="15" t="s">
        <v>221</v>
      </c>
      <c r="F21" s="4">
        <v>2010</v>
      </c>
      <c r="G21" s="16" t="s">
        <v>251</v>
      </c>
      <c r="H21" s="3" t="s">
        <v>12</v>
      </c>
      <c r="I21" s="6"/>
      <c r="J21" s="7"/>
      <c r="K21" s="3"/>
      <c r="L21" s="6"/>
    </row>
    <row r="22" spans="1:12" x14ac:dyDescent="0.3">
      <c r="A22" s="2">
        <f t="shared" si="0"/>
        <v>21</v>
      </c>
      <c r="B22" s="3" t="s">
        <v>10</v>
      </c>
      <c r="C22" s="3" t="s">
        <v>14</v>
      </c>
      <c r="D22" s="3" t="s">
        <v>15</v>
      </c>
      <c r="E22" s="3" t="s">
        <v>16</v>
      </c>
      <c r="F22" s="4">
        <v>1994</v>
      </c>
      <c r="G22" s="5" t="s">
        <v>17</v>
      </c>
      <c r="H22" s="3" t="s">
        <v>18</v>
      </c>
      <c r="I22" s="6"/>
      <c r="J22" s="7"/>
      <c r="K22" s="3"/>
      <c r="L22" s="6"/>
    </row>
    <row r="23" spans="1:12" x14ac:dyDescent="0.3">
      <c r="A23" s="2">
        <f t="shared" si="0"/>
        <v>22</v>
      </c>
      <c r="B23" s="3" t="s">
        <v>19</v>
      </c>
      <c r="C23" s="3" t="s">
        <v>20</v>
      </c>
      <c r="D23" s="3" t="s">
        <v>21</v>
      </c>
      <c r="E23" s="3" t="s">
        <v>22</v>
      </c>
      <c r="F23" s="4">
        <v>2000</v>
      </c>
      <c r="G23" s="5" t="s">
        <v>23</v>
      </c>
      <c r="H23" s="3" t="s">
        <v>18</v>
      </c>
      <c r="I23" s="6"/>
      <c r="J23" s="7">
        <v>46307</v>
      </c>
      <c r="K23" s="3"/>
      <c r="L23" s="6"/>
    </row>
    <row r="24" spans="1:12" x14ac:dyDescent="0.3">
      <c r="A24" s="2">
        <f t="shared" si="0"/>
        <v>23</v>
      </c>
      <c r="B24" s="3" t="s">
        <v>19</v>
      </c>
      <c r="C24" s="3" t="s">
        <v>24</v>
      </c>
      <c r="D24" s="3" t="s">
        <v>25</v>
      </c>
      <c r="E24" s="3" t="s">
        <v>26</v>
      </c>
      <c r="F24" s="4">
        <v>1997</v>
      </c>
      <c r="G24" s="5" t="s">
        <v>27</v>
      </c>
      <c r="H24" s="3" t="s">
        <v>18</v>
      </c>
      <c r="I24" s="6"/>
      <c r="J24" s="7">
        <v>46307</v>
      </c>
      <c r="K24" s="3"/>
      <c r="L24" s="6"/>
    </row>
    <row r="25" spans="1:12" x14ac:dyDescent="0.3">
      <c r="A25" s="2">
        <f t="shared" si="0"/>
        <v>24</v>
      </c>
      <c r="B25" s="3" t="s">
        <v>19</v>
      </c>
      <c r="C25" s="3" t="s">
        <v>28</v>
      </c>
      <c r="D25" s="3" t="s">
        <v>25</v>
      </c>
      <c r="E25" s="3" t="s">
        <v>26</v>
      </c>
      <c r="F25" s="4">
        <v>2000</v>
      </c>
      <c r="G25" s="5" t="s">
        <v>29</v>
      </c>
      <c r="H25" s="3" t="s">
        <v>18</v>
      </c>
      <c r="I25" s="6"/>
      <c r="J25" s="7">
        <v>46307</v>
      </c>
      <c r="K25" s="3"/>
      <c r="L25" s="6"/>
    </row>
    <row r="26" spans="1:12" x14ac:dyDescent="0.3">
      <c r="A26" s="2">
        <f t="shared" si="0"/>
        <v>25</v>
      </c>
      <c r="B26" s="3" t="s">
        <v>19</v>
      </c>
      <c r="C26" s="3" t="s">
        <v>30</v>
      </c>
      <c r="D26" s="3" t="s">
        <v>31</v>
      </c>
      <c r="E26" s="3" t="s">
        <v>32</v>
      </c>
      <c r="F26" s="4">
        <v>2000</v>
      </c>
      <c r="G26" s="5" t="s">
        <v>33</v>
      </c>
      <c r="H26" s="3" t="s">
        <v>18</v>
      </c>
      <c r="I26" s="6"/>
      <c r="J26" s="7">
        <v>46307</v>
      </c>
      <c r="K26" s="3"/>
      <c r="L26" s="6"/>
    </row>
    <row r="27" spans="1:12" x14ac:dyDescent="0.3">
      <c r="A27" s="2">
        <f t="shared" si="0"/>
        <v>26</v>
      </c>
      <c r="B27" s="3" t="s">
        <v>19</v>
      </c>
      <c r="C27" s="3" t="s">
        <v>34</v>
      </c>
      <c r="D27" s="3" t="s">
        <v>31</v>
      </c>
      <c r="E27" s="3" t="s">
        <v>32</v>
      </c>
      <c r="F27" s="4">
        <v>2000</v>
      </c>
      <c r="G27" s="5" t="s">
        <v>35</v>
      </c>
      <c r="H27" s="3" t="s">
        <v>18</v>
      </c>
      <c r="I27" s="6"/>
      <c r="J27" s="7">
        <v>46307</v>
      </c>
      <c r="K27" s="3"/>
      <c r="L27" s="6"/>
    </row>
    <row r="28" spans="1:12" x14ac:dyDescent="0.3">
      <c r="A28" s="2">
        <f t="shared" si="0"/>
        <v>27</v>
      </c>
      <c r="B28" s="3" t="s">
        <v>19</v>
      </c>
      <c r="C28" s="3" t="s">
        <v>36</v>
      </c>
      <c r="D28" s="3" t="s">
        <v>31</v>
      </c>
      <c r="E28" s="3" t="s">
        <v>32</v>
      </c>
      <c r="F28" s="4">
        <v>2000</v>
      </c>
      <c r="G28" s="5" t="s">
        <v>37</v>
      </c>
      <c r="H28" s="3" t="s">
        <v>18</v>
      </c>
      <c r="I28" s="6"/>
      <c r="J28" s="7">
        <v>46307</v>
      </c>
      <c r="K28" s="3"/>
      <c r="L28" s="6"/>
    </row>
    <row r="29" spans="1:12" x14ac:dyDescent="0.3">
      <c r="A29" s="2">
        <f t="shared" si="0"/>
        <v>28</v>
      </c>
      <c r="B29" s="3" t="s">
        <v>19</v>
      </c>
      <c r="C29" s="3" t="s">
        <v>38</v>
      </c>
      <c r="D29" s="3" t="s">
        <v>31</v>
      </c>
      <c r="E29" s="3" t="s">
        <v>32</v>
      </c>
      <c r="F29" s="4">
        <v>2000</v>
      </c>
      <c r="G29" s="5" t="s">
        <v>39</v>
      </c>
      <c r="H29" s="3" t="s">
        <v>18</v>
      </c>
      <c r="I29" s="6"/>
      <c r="J29" s="7">
        <v>46307</v>
      </c>
      <c r="K29" s="3"/>
      <c r="L29" s="6"/>
    </row>
    <row r="30" spans="1:12" x14ac:dyDescent="0.3">
      <c r="A30" s="2">
        <f t="shared" si="0"/>
        <v>29</v>
      </c>
      <c r="B30" s="3" t="s">
        <v>19</v>
      </c>
      <c r="C30" s="3" t="s">
        <v>40</v>
      </c>
      <c r="D30" s="3" t="s">
        <v>31</v>
      </c>
      <c r="E30" s="3" t="s">
        <v>32</v>
      </c>
      <c r="F30" s="4">
        <v>2000</v>
      </c>
      <c r="G30" s="5" t="s">
        <v>41</v>
      </c>
      <c r="H30" s="3" t="s">
        <v>18</v>
      </c>
      <c r="I30" s="6"/>
      <c r="J30" s="7">
        <v>46307</v>
      </c>
      <c r="K30" s="3"/>
      <c r="L30" s="6"/>
    </row>
    <row r="31" spans="1:12" x14ac:dyDescent="0.3">
      <c r="A31" s="2">
        <f t="shared" si="0"/>
        <v>30</v>
      </c>
      <c r="B31" s="3" t="s">
        <v>19</v>
      </c>
      <c r="C31" s="3" t="s">
        <v>42</v>
      </c>
      <c r="D31" s="3" t="s">
        <v>31</v>
      </c>
      <c r="E31" s="3" t="s">
        <v>32</v>
      </c>
      <c r="F31" s="4">
        <v>2000</v>
      </c>
      <c r="G31" s="5" t="s">
        <v>43</v>
      </c>
      <c r="H31" s="3" t="s">
        <v>18</v>
      </c>
      <c r="I31" s="6"/>
      <c r="J31" s="7">
        <v>46307</v>
      </c>
      <c r="K31" s="3"/>
      <c r="L31" s="6"/>
    </row>
    <row r="32" spans="1:12" x14ac:dyDescent="0.3">
      <c r="A32" s="2">
        <f t="shared" si="0"/>
        <v>31</v>
      </c>
      <c r="B32" s="3" t="s">
        <v>19</v>
      </c>
      <c r="C32" s="3" t="s">
        <v>44</v>
      </c>
      <c r="D32" s="3" t="s">
        <v>31</v>
      </c>
      <c r="E32" s="3" t="s">
        <v>32</v>
      </c>
      <c r="F32" s="4">
        <v>2000</v>
      </c>
      <c r="G32" s="5" t="s">
        <v>45</v>
      </c>
      <c r="H32" s="3" t="s">
        <v>18</v>
      </c>
      <c r="I32" s="6"/>
      <c r="J32" s="7">
        <v>46307</v>
      </c>
      <c r="K32" s="3"/>
      <c r="L32" s="6"/>
    </row>
    <row r="33" spans="1:12" x14ac:dyDescent="0.3">
      <c r="A33" s="2">
        <f t="shared" si="0"/>
        <v>32</v>
      </c>
      <c r="B33" s="3" t="s">
        <v>19</v>
      </c>
      <c r="C33" s="3" t="s">
        <v>46</v>
      </c>
      <c r="D33" s="3" t="s">
        <v>31</v>
      </c>
      <c r="E33" s="3" t="s">
        <v>32</v>
      </c>
      <c r="F33" s="4">
        <v>2000</v>
      </c>
      <c r="G33" s="5" t="s">
        <v>47</v>
      </c>
      <c r="H33" s="3" t="s">
        <v>18</v>
      </c>
      <c r="I33" s="6"/>
      <c r="J33" s="7">
        <v>46307</v>
      </c>
      <c r="K33" s="3"/>
      <c r="L33" s="6"/>
    </row>
    <row r="34" spans="1:12" x14ac:dyDescent="0.3">
      <c r="A34" s="2">
        <f t="shared" si="0"/>
        <v>33</v>
      </c>
      <c r="B34" s="3" t="s">
        <v>19</v>
      </c>
      <c r="C34" s="3" t="s">
        <v>48</v>
      </c>
      <c r="D34" s="3" t="s">
        <v>31</v>
      </c>
      <c r="E34" s="3" t="s">
        <v>32</v>
      </c>
      <c r="F34" s="4">
        <v>2000</v>
      </c>
      <c r="G34" s="5" t="s">
        <v>49</v>
      </c>
      <c r="H34" s="3" t="s">
        <v>18</v>
      </c>
      <c r="I34" s="6"/>
      <c r="J34" s="7">
        <v>46307</v>
      </c>
      <c r="K34" s="3"/>
      <c r="L34" s="6"/>
    </row>
    <row r="35" spans="1:12" x14ac:dyDescent="0.3">
      <c r="A35" s="2">
        <f t="shared" si="0"/>
        <v>34</v>
      </c>
      <c r="B35" s="3" t="s">
        <v>19</v>
      </c>
      <c r="C35" s="3" t="s">
        <v>50</v>
      </c>
      <c r="D35" s="3" t="s">
        <v>31</v>
      </c>
      <c r="E35" s="3" t="s">
        <v>32</v>
      </c>
      <c r="F35" s="4">
        <v>2000</v>
      </c>
      <c r="G35" s="5" t="s">
        <v>51</v>
      </c>
      <c r="H35" s="3" t="s">
        <v>52</v>
      </c>
      <c r="I35" s="6" t="s">
        <v>53</v>
      </c>
      <c r="J35" s="7"/>
      <c r="K35" s="3"/>
      <c r="L35" s="6"/>
    </row>
    <row r="36" spans="1:12" x14ac:dyDescent="0.3">
      <c r="A36" s="2">
        <f t="shared" si="0"/>
        <v>35</v>
      </c>
      <c r="B36" s="3" t="s">
        <v>19</v>
      </c>
      <c r="C36" s="3" t="s">
        <v>54</v>
      </c>
      <c r="D36" s="3" t="s">
        <v>31</v>
      </c>
      <c r="E36" s="3" t="s">
        <v>32</v>
      </c>
      <c r="F36" s="4">
        <v>2000</v>
      </c>
      <c r="G36" s="5" t="s">
        <v>55</v>
      </c>
      <c r="H36" s="3" t="s">
        <v>52</v>
      </c>
      <c r="I36" s="6" t="s">
        <v>56</v>
      </c>
      <c r="J36" s="7">
        <v>46307</v>
      </c>
      <c r="K36" s="3"/>
      <c r="L36" s="6"/>
    </row>
    <row r="37" spans="1:12" x14ac:dyDescent="0.3">
      <c r="A37" s="2">
        <f t="shared" si="0"/>
        <v>36</v>
      </c>
      <c r="B37" s="3" t="s">
        <v>19</v>
      </c>
      <c r="C37" s="3" t="s">
        <v>57</v>
      </c>
      <c r="D37" s="3" t="s">
        <v>31</v>
      </c>
      <c r="E37" s="3" t="s">
        <v>32</v>
      </c>
      <c r="F37" s="4">
        <v>2000</v>
      </c>
      <c r="G37" s="5" t="s">
        <v>58</v>
      </c>
      <c r="H37" s="3" t="s">
        <v>52</v>
      </c>
      <c r="I37" s="6" t="s">
        <v>56</v>
      </c>
      <c r="J37" s="7">
        <v>46307</v>
      </c>
      <c r="K37" s="3"/>
      <c r="L37" s="6"/>
    </row>
    <row r="38" spans="1:12" x14ac:dyDescent="0.3">
      <c r="A38" s="2">
        <f t="shared" si="0"/>
        <v>37</v>
      </c>
      <c r="B38" s="3" t="s">
        <v>19</v>
      </c>
      <c r="C38" s="3" t="s">
        <v>59</v>
      </c>
      <c r="D38" s="3" t="s">
        <v>21</v>
      </c>
      <c r="E38" s="3" t="s">
        <v>22</v>
      </c>
      <c r="F38" s="4">
        <v>1997</v>
      </c>
      <c r="G38" s="5"/>
      <c r="H38" s="3" t="s">
        <v>18</v>
      </c>
      <c r="I38" s="6"/>
      <c r="J38" s="7">
        <v>46307</v>
      </c>
      <c r="K38" s="3"/>
      <c r="L38" s="6"/>
    </row>
    <row r="39" spans="1:12" x14ac:dyDescent="0.3">
      <c r="A39" s="2">
        <f t="shared" si="0"/>
        <v>38</v>
      </c>
      <c r="B39" s="3" t="s">
        <v>19</v>
      </c>
      <c r="C39" s="3" t="s">
        <v>60</v>
      </c>
      <c r="D39" s="3" t="s">
        <v>31</v>
      </c>
      <c r="E39" s="3" t="s">
        <v>32</v>
      </c>
      <c r="F39" s="4">
        <v>2000</v>
      </c>
      <c r="G39" s="5" t="s">
        <v>61</v>
      </c>
      <c r="H39" s="3" t="s">
        <v>18</v>
      </c>
      <c r="I39" s="6"/>
      <c r="J39" s="7">
        <v>46307</v>
      </c>
      <c r="K39" s="3"/>
      <c r="L39" s="6"/>
    </row>
    <row r="40" spans="1:12" x14ac:dyDescent="0.3">
      <c r="A40" s="2">
        <f t="shared" si="0"/>
        <v>39</v>
      </c>
      <c r="B40" s="3" t="s">
        <v>19</v>
      </c>
      <c r="C40" s="3" t="s">
        <v>62</v>
      </c>
      <c r="D40" s="3" t="s">
        <v>31</v>
      </c>
      <c r="E40" s="3" t="s">
        <v>32</v>
      </c>
      <c r="F40" s="4">
        <v>2000</v>
      </c>
      <c r="G40" s="5" t="s">
        <v>63</v>
      </c>
      <c r="H40" s="3" t="s">
        <v>18</v>
      </c>
      <c r="I40" s="6"/>
      <c r="J40" s="7">
        <v>46307</v>
      </c>
      <c r="K40" s="3"/>
      <c r="L40" s="6"/>
    </row>
    <row r="41" spans="1:12" x14ac:dyDescent="0.3">
      <c r="A41" s="2">
        <f t="shared" si="0"/>
        <v>40</v>
      </c>
      <c r="B41" s="3" t="s">
        <v>64</v>
      </c>
      <c r="C41" s="3" t="s">
        <v>65</v>
      </c>
      <c r="D41" s="3" t="s">
        <v>13</v>
      </c>
      <c r="E41" s="3" t="s">
        <v>66</v>
      </c>
      <c r="F41" s="4">
        <v>2022</v>
      </c>
      <c r="G41" s="8" t="s">
        <v>67</v>
      </c>
      <c r="H41" s="3" t="s">
        <v>18</v>
      </c>
      <c r="I41" s="6"/>
      <c r="J41" s="7">
        <v>46307</v>
      </c>
      <c r="K41" s="3"/>
      <c r="L41" s="6"/>
    </row>
    <row r="42" spans="1:12" x14ac:dyDescent="0.3">
      <c r="A42" s="2">
        <f t="shared" si="0"/>
        <v>41</v>
      </c>
      <c r="B42" s="3" t="s">
        <v>64</v>
      </c>
      <c r="C42" s="3" t="s">
        <v>68</v>
      </c>
      <c r="D42" s="3" t="s">
        <v>13</v>
      </c>
      <c r="E42" s="3" t="s">
        <v>66</v>
      </c>
      <c r="F42" s="4">
        <v>2022</v>
      </c>
      <c r="G42" s="8" t="s">
        <v>69</v>
      </c>
      <c r="H42" s="3" t="s">
        <v>18</v>
      </c>
      <c r="I42" s="6"/>
      <c r="J42" s="7">
        <v>46307</v>
      </c>
      <c r="K42" s="3"/>
      <c r="L42" s="6"/>
    </row>
    <row r="43" spans="1:12" x14ac:dyDescent="0.3">
      <c r="A43" s="2">
        <f t="shared" si="0"/>
        <v>42</v>
      </c>
      <c r="B43" s="3" t="s">
        <v>64</v>
      </c>
      <c r="C43" s="3" t="s">
        <v>70</v>
      </c>
      <c r="D43" s="3" t="s">
        <v>11</v>
      </c>
      <c r="E43" s="3" t="s">
        <v>71</v>
      </c>
      <c r="F43" s="4">
        <v>2012</v>
      </c>
      <c r="G43" s="5" t="s">
        <v>72</v>
      </c>
      <c r="H43" s="3" t="s">
        <v>52</v>
      </c>
      <c r="I43" s="6" t="s">
        <v>73</v>
      </c>
      <c r="J43" s="7">
        <v>46307</v>
      </c>
      <c r="K43" s="3"/>
      <c r="L43" s="6"/>
    </row>
    <row r="44" spans="1:12" x14ac:dyDescent="0.3">
      <c r="A44" s="2">
        <f t="shared" si="0"/>
        <v>43</v>
      </c>
      <c r="B44" s="3" t="s">
        <v>64</v>
      </c>
      <c r="C44" s="3" t="s">
        <v>74</v>
      </c>
      <c r="D44" s="3" t="s">
        <v>11</v>
      </c>
      <c r="E44" s="3" t="s">
        <v>75</v>
      </c>
      <c r="F44" s="4">
        <v>2006</v>
      </c>
      <c r="G44" s="5" t="s">
        <v>76</v>
      </c>
      <c r="H44" s="3" t="s">
        <v>52</v>
      </c>
      <c r="I44" s="6" t="s">
        <v>77</v>
      </c>
      <c r="J44" s="7">
        <v>46307</v>
      </c>
      <c r="K44" s="3"/>
      <c r="L44" s="6"/>
    </row>
    <row r="45" spans="1:12" x14ac:dyDescent="0.3">
      <c r="A45" s="2">
        <f t="shared" si="0"/>
        <v>44</v>
      </c>
      <c r="B45" s="3" t="s">
        <v>64</v>
      </c>
      <c r="C45" s="3" t="s">
        <v>78</v>
      </c>
      <c r="D45" s="3" t="s">
        <v>11</v>
      </c>
      <c r="E45" s="3" t="s">
        <v>71</v>
      </c>
      <c r="F45" s="4">
        <v>2012</v>
      </c>
      <c r="G45" s="5" t="s">
        <v>79</v>
      </c>
      <c r="H45" s="3" t="s">
        <v>18</v>
      </c>
      <c r="I45" s="6"/>
      <c r="J45" s="7">
        <v>46307</v>
      </c>
      <c r="K45" s="3"/>
      <c r="L45" s="6"/>
    </row>
    <row r="46" spans="1:12" x14ac:dyDescent="0.3">
      <c r="A46" s="2">
        <f t="shared" si="0"/>
        <v>45</v>
      </c>
      <c r="B46" s="3" t="s">
        <v>64</v>
      </c>
      <c r="C46" s="3" t="s">
        <v>80</v>
      </c>
      <c r="D46" s="3" t="s">
        <v>11</v>
      </c>
      <c r="E46" s="3" t="s">
        <v>75</v>
      </c>
      <c r="F46" s="4">
        <v>2006</v>
      </c>
      <c r="G46" s="5" t="s">
        <v>81</v>
      </c>
      <c r="H46" s="3" t="s">
        <v>18</v>
      </c>
      <c r="I46" s="6"/>
      <c r="J46" s="7">
        <v>46307</v>
      </c>
      <c r="K46" s="3"/>
      <c r="L46" s="6"/>
    </row>
    <row r="47" spans="1:12" x14ac:dyDescent="0.3">
      <c r="A47" s="2">
        <f t="shared" si="0"/>
        <v>46</v>
      </c>
      <c r="B47" s="3" t="s">
        <v>64</v>
      </c>
      <c r="C47" s="3" t="s">
        <v>82</v>
      </c>
      <c r="D47" s="3" t="s">
        <v>11</v>
      </c>
      <c r="E47" s="3" t="s">
        <v>75</v>
      </c>
      <c r="F47" s="4">
        <v>2006</v>
      </c>
      <c r="G47" s="5" t="s">
        <v>83</v>
      </c>
      <c r="H47" s="3" t="s">
        <v>18</v>
      </c>
      <c r="I47" s="6" t="s">
        <v>84</v>
      </c>
      <c r="J47" s="7">
        <v>46307</v>
      </c>
      <c r="K47" s="3"/>
      <c r="L47" s="6"/>
    </row>
    <row r="48" spans="1:12" x14ac:dyDescent="0.3">
      <c r="A48" s="2">
        <f t="shared" si="0"/>
        <v>47</v>
      </c>
      <c r="B48" s="3" t="s">
        <v>64</v>
      </c>
      <c r="C48" s="3" t="s">
        <v>85</v>
      </c>
      <c r="D48" s="3" t="s">
        <v>11</v>
      </c>
      <c r="E48" s="3" t="s">
        <v>71</v>
      </c>
      <c r="F48" s="4">
        <v>2012</v>
      </c>
      <c r="G48" s="5" t="s">
        <v>86</v>
      </c>
      <c r="H48" s="3" t="s">
        <v>18</v>
      </c>
      <c r="I48" s="6"/>
      <c r="J48" s="7">
        <v>46307</v>
      </c>
      <c r="K48" s="3"/>
      <c r="L48" s="6"/>
    </row>
    <row r="49" spans="1:12" x14ac:dyDescent="0.3">
      <c r="A49" s="2">
        <f t="shared" si="0"/>
        <v>48</v>
      </c>
      <c r="B49" s="3" t="s">
        <v>64</v>
      </c>
      <c r="C49" s="3" t="s">
        <v>87</v>
      </c>
      <c r="D49" s="3" t="s">
        <v>11</v>
      </c>
      <c r="E49" s="3" t="s">
        <v>75</v>
      </c>
      <c r="F49" s="4">
        <v>2006</v>
      </c>
      <c r="G49" s="5" t="s">
        <v>88</v>
      </c>
      <c r="H49" s="3" t="s">
        <v>89</v>
      </c>
      <c r="I49" s="6" t="s">
        <v>90</v>
      </c>
      <c r="J49" s="7">
        <v>46307</v>
      </c>
      <c r="K49" s="3"/>
      <c r="L49" s="6"/>
    </row>
    <row r="50" spans="1:12" x14ac:dyDescent="0.3">
      <c r="A50" s="2">
        <f t="shared" si="0"/>
        <v>49</v>
      </c>
      <c r="B50" s="3" t="s">
        <v>64</v>
      </c>
      <c r="C50" s="3" t="s">
        <v>91</v>
      </c>
      <c r="D50" s="3" t="s">
        <v>11</v>
      </c>
      <c r="E50" s="3" t="s">
        <v>71</v>
      </c>
      <c r="F50" s="4">
        <v>2012</v>
      </c>
      <c r="G50" s="5" t="s">
        <v>92</v>
      </c>
      <c r="H50" s="3" t="s">
        <v>18</v>
      </c>
      <c r="I50" s="6"/>
      <c r="J50" s="7">
        <v>46307</v>
      </c>
      <c r="K50" s="3"/>
      <c r="L50" s="6"/>
    </row>
    <row r="51" spans="1:12" x14ac:dyDescent="0.3">
      <c r="A51" s="2">
        <f t="shared" si="0"/>
        <v>50</v>
      </c>
      <c r="B51" s="3" t="s">
        <v>64</v>
      </c>
      <c r="C51" s="3" t="s">
        <v>93</v>
      </c>
      <c r="D51" s="3" t="s">
        <v>11</v>
      </c>
      <c r="E51" s="3" t="s">
        <v>75</v>
      </c>
      <c r="F51" s="4">
        <v>2006</v>
      </c>
      <c r="G51" s="5" t="s">
        <v>94</v>
      </c>
      <c r="H51" s="3" t="s">
        <v>89</v>
      </c>
      <c r="I51" s="6" t="s">
        <v>84</v>
      </c>
      <c r="J51" s="7">
        <v>46307</v>
      </c>
      <c r="K51" s="3"/>
      <c r="L51" s="6"/>
    </row>
    <row r="52" spans="1:12" ht="26.4" x14ac:dyDescent="0.3">
      <c r="A52" s="2">
        <f t="shared" si="0"/>
        <v>51</v>
      </c>
      <c r="B52" s="3" t="s">
        <v>64</v>
      </c>
      <c r="C52" s="3" t="s">
        <v>95</v>
      </c>
      <c r="D52" s="3" t="s">
        <v>11</v>
      </c>
      <c r="E52" s="3" t="s">
        <v>75</v>
      </c>
      <c r="F52" s="4">
        <v>2006</v>
      </c>
      <c r="G52" s="5" t="s">
        <v>96</v>
      </c>
      <c r="H52" s="3" t="s">
        <v>52</v>
      </c>
      <c r="I52" s="6" t="s">
        <v>97</v>
      </c>
      <c r="J52" s="7">
        <v>46307</v>
      </c>
      <c r="K52" s="3"/>
      <c r="L52" s="6"/>
    </row>
    <row r="53" spans="1:12" x14ac:dyDescent="0.3">
      <c r="A53" s="2">
        <f t="shared" si="0"/>
        <v>52</v>
      </c>
      <c r="B53" s="3" t="s">
        <v>64</v>
      </c>
      <c r="C53" s="3" t="s">
        <v>98</v>
      </c>
      <c r="D53" s="3" t="s">
        <v>11</v>
      </c>
      <c r="E53" s="3" t="s">
        <v>71</v>
      </c>
      <c r="F53" s="4">
        <v>2012</v>
      </c>
      <c r="G53" s="5" t="s">
        <v>99</v>
      </c>
      <c r="H53" s="3" t="s">
        <v>52</v>
      </c>
      <c r="I53" s="6" t="s">
        <v>100</v>
      </c>
      <c r="J53" s="7">
        <v>46307</v>
      </c>
      <c r="K53" s="3"/>
      <c r="L53" s="6"/>
    </row>
    <row r="54" spans="1:12" x14ac:dyDescent="0.3">
      <c r="A54" s="2">
        <f t="shared" si="0"/>
        <v>53</v>
      </c>
      <c r="B54" s="3" t="s">
        <v>64</v>
      </c>
      <c r="C54" s="3" t="s">
        <v>101</v>
      </c>
      <c r="D54" s="3" t="s">
        <v>11</v>
      </c>
      <c r="E54" s="3" t="s">
        <v>71</v>
      </c>
      <c r="F54" s="4">
        <v>2012</v>
      </c>
      <c r="G54" s="5" t="s">
        <v>102</v>
      </c>
      <c r="H54" s="3" t="s">
        <v>52</v>
      </c>
      <c r="I54" s="6" t="s">
        <v>77</v>
      </c>
      <c r="J54" s="7">
        <v>46307</v>
      </c>
      <c r="K54" s="3"/>
      <c r="L54" s="6"/>
    </row>
    <row r="55" spans="1:12" x14ac:dyDescent="0.3">
      <c r="A55" s="2">
        <f t="shared" si="0"/>
        <v>54</v>
      </c>
      <c r="B55" s="3" t="s">
        <v>64</v>
      </c>
      <c r="C55" s="3" t="s">
        <v>103</v>
      </c>
      <c r="D55" s="3" t="s">
        <v>11</v>
      </c>
      <c r="E55" s="3" t="s">
        <v>71</v>
      </c>
      <c r="F55" s="4">
        <v>2012</v>
      </c>
      <c r="G55" s="5" t="s">
        <v>104</v>
      </c>
      <c r="H55" s="3" t="s">
        <v>18</v>
      </c>
      <c r="I55" s="6"/>
      <c r="J55" s="7">
        <v>46307</v>
      </c>
      <c r="K55" s="3"/>
      <c r="L55" s="6"/>
    </row>
    <row r="56" spans="1:12" x14ac:dyDescent="0.3">
      <c r="A56" s="2">
        <f t="shared" si="0"/>
        <v>55</v>
      </c>
      <c r="B56" s="3" t="s">
        <v>64</v>
      </c>
      <c r="C56" s="3" t="s">
        <v>105</v>
      </c>
      <c r="D56" s="3" t="s">
        <v>11</v>
      </c>
      <c r="E56" s="3" t="s">
        <v>71</v>
      </c>
      <c r="F56" s="4">
        <v>2012</v>
      </c>
      <c r="G56" s="5" t="s">
        <v>106</v>
      </c>
      <c r="H56" s="3" t="s">
        <v>18</v>
      </c>
      <c r="I56" s="6"/>
      <c r="J56" s="7">
        <v>46307</v>
      </c>
      <c r="K56" s="3"/>
      <c r="L56" s="6"/>
    </row>
    <row r="57" spans="1:12" x14ac:dyDescent="0.3">
      <c r="A57" s="2">
        <f t="shared" si="0"/>
        <v>56</v>
      </c>
      <c r="B57" s="3" t="s">
        <v>64</v>
      </c>
      <c r="C57" s="3" t="s">
        <v>107</v>
      </c>
      <c r="D57" s="3" t="s">
        <v>11</v>
      </c>
      <c r="E57" s="3" t="s">
        <v>75</v>
      </c>
      <c r="F57" s="4">
        <v>2006</v>
      </c>
      <c r="G57" s="5" t="s">
        <v>108</v>
      </c>
      <c r="H57" s="3" t="s">
        <v>52</v>
      </c>
      <c r="I57" s="6" t="s">
        <v>109</v>
      </c>
      <c r="J57" s="7">
        <v>46307</v>
      </c>
      <c r="K57" s="3"/>
      <c r="L57" s="6"/>
    </row>
    <row r="58" spans="1:12" x14ac:dyDescent="0.3">
      <c r="A58" s="2">
        <f t="shared" si="0"/>
        <v>57</v>
      </c>
      <c r="B58" s="3" t="s">
        <v>64</v>
      </c>
      <c r="C58" s="3" t="s">
        <v>110</v>
      </c>
      <c r="D58" s="3" t="s">
        <v>11</v>
      </c>
      <c r="E58" s="3" t="s">
        <v>75</v>
      </c>
      <c r="F58" s="4">
        <v>2006</v>
      </c>
      <c r="G58" s="5" t="s">
        <v>111</v>
      </c>
      <c r="H58" s="3" t="s">
        <v>18</v>
      </c>
      <c r="I58" s="6"/>
      <c r="J58" s="7">
        <v>46307</v>
      </c>
      <c r="K58" s="3"/>
      <c r="L58" s="6"/>
    </row>
    <row r="59" spans="1:12" x14ac:dyDescent="0.3">
      <c r="A59" s="2">
        <f t="shared" si="0"/>
        <v>58</v>
      </c>
      <c r="B59" s="3" t="s">
        <v>112</v>
      </c>
      <c r="C59" s="3" t="s">
        <v>113</v>
      </c>
      <c r="D59" s="3" t="s">
        <v>31</v>
      </c>
      <c r="E59" s="3" t="s">
        <v>114</v>
      </c>
      <c r="F59" s="4">
        <v>2000</v>
      </c>
      <c r="G59" s="5" t="s">
        <v>115</v>
      </c>
      <c r="H59" s="3" t="s">
        <v>18</v>
      </c>
      <c r="I59" s="6"/>
      <c r="J59" s="7">
        <v>46307</v>
      </c>
      <c r="K59" s="3"/>
      <c r="L59" s="6"/>
    </row>
    <row r="60" spans="1:12" x14ac:dyDescent="0.3">
      <c r="A60" s="2">
        <f t="shared" si="0"/>
        <v>59</v>
      </c>
      <c r="B60" s="3" t="s">
        <v>112</v>
      </c>
      <c r="C60" s="3" t="s">
        <v>116</v>
      </c>
      <c r="D60" s="3" t="s">
        <v>117</v>
      </c>
      <c r="E60" s="3" t="s">
        <v>118</v>
      </c>
      <c r="F60" s="4">
        <v>2000</v>
      </c>
      <c r="G60" s="5" t="s">
        <v>119</v>
      </c>
      <c r="H60" s="3" t="s">
        <v>18</v>
      </c>
      <c r="I60" s="6"/>
      <c r="J60" s="7">
        <v>46307</v>
      </c>
      <c r="K60" s="3"/>
      <c r="L60" s="6"/>
    </row>
    <row r="61" spans="1:12" x14ac:dyDescent="0.3">
      <c r="A61" s="2">
        <f t="shared" si="0"/>
        <v>60</v>
      </c>
      <c r="B61" s="3" t="s">
        <v>112</v>
      </c>
      <c r="C61" s="3" t="s">
        <v>120</v>
      </c>
      <c r="D61" s="3" t="s">
        <v>25</v>
      </c>
      <c r="E61" s="3" t="s">
        <v>121</v>
      </c>
      <c r="F61" s="4"/>
      <c r="G61" s="5" t="s">
        <v>122</v>
      </c>
      <c r="H61" s="3" t="s">
        <v>52</v>
      </c>
      <c r="I61" s="6" t="s">
        <v>100</v>
      </c>
      <c r="J61" s="7">
        <v>46307</v>
      </c>
      <c r="K61" s="3"/>
      <c r="L61" s="6"/>
    </row>
    <row r="62" spans="1:12" x14ac:dyDescent="0.3">
      <c r="A62" s="2">
        <f t="shared" si="0"/>
        <v>61</v>
      </c>
      <c r="B62" s="3" t="s">
        <v>112</v>
      </c>
      <c r="C62" s="3" t="s">
        <v>123</v>
      </c>
      <c r="D62" s="3" t="s">
        <v>31</v>
      </c>
      <c r="E62" s="3" t="s">
        <v>114</v>
      </c>
      <c r="F62" s="4">
        <v>2000</v>
      </c>
      <c r="G62" s="5" t="s">
        <v>124</v>
      </c>
      <c r="H62" s="3" t="s">
        <v>18</v>
      </c>
      <c r="I62" s="6"/>
      <c r="J62" s="7">
        <v>46307</v>
      </c>
      <c r="K62" s="3"/>
      <c r="L62" s="6"/>
    </row>
    <row r="63" spans="1:12" x14ac:dyDescent="0.3">
      <c r="A63" s="2">
        <f t="shared" si="0"/>
        <v>62</v>
      </c>
      <c r="B63" s="3" t="s">
        <v>112</v>
      </c>
      <c r="C63" s="3" t="s">
        <v>125</v>
      </c>
      <c r="D63" s="3" t="s">
        <v>31</v>
      </c>
      <c r="E63" s="3" t="s">
        <v>114</v>
      </c>
      <c r="F63" s="4">
        <v>2000</v>
      </c>
      <c r="G63" s="5" t="s">
        <v>126</v>
      </c>
      <c r="H63" s="3" t="s">
        <v>18</v>
      </c>
      <c r="I63" s="6"/>
      <c r="J63" s="7">
        <v>46307</v>
      </c>
      <c r="K63" s="3"/>
      <c r="L63" s="6"/>
    </row>
    <row r="64" spans="1:12" x14ac:dyDescent="0.3">
      <c r="A64" s="2">
        <f t="shared" si="0"/>
        <v>63</v>
      </c>
      <c r="B64" s="3" t="s">
        <v>112</v>
      </c>
      <c r="C64" s="3" t="s">
        <v>127</v>
      </c>
      <c r="D64" s="3" t="s">
        <v>31</v>
      </c>
      <c r="E64" s="3" t="s">
        <v>114</v>
      </c>
      <c r="F64" s="4">
        <v>2000</v>
      </c>
      <c r="G64" s="5" t="s">
        <v>128</v>
      </c>
      <c r="H64" s="3" t="s">
        <v>18</v>
      </c>
      <c r="I64" s="6"/>
      <c r="J64" s="7">
        <v>46307</v>
      </c>
      <c r="K64" s="3"/>
      <c r="L64" s="6"/>
    </row>
    <row r="65" spans="1:12" x14ac:dyDescent="0.3">
      <c r="A65" s="2">
        <f t="shared" si="0"/>
        <v>64</v>
      </c>
      <c r="B65" s="3" t="s">
        <v>112</v>
      </c>
      <c r="C65" s="3" t="s">
        <v>129</v>
      </c>
      <c r="D65" s="3" t="s">
        <v>117</v>
      </c>
      <c r="E65" s="3" t="s">
        <v>118</v>
      </c>
      <c r="F65" s="4">
        <v>2000</v>
      </c>
      <c r="G65" s="5" t="s">
        <v>130</v>
      </c>
      <c r="H65" s="3" t="s">
        <v>89</v>
      </c>
      <c r="I65" s="6" t="s">
        <v>73</v>
      </c>
      <c r="J65" s="7">
        <v>46307</v>
      </c>
      <c r="K65" s="3"/>
      <c r="L65" s="6"/>
    </row>
    <row r="66" spans="1:12" x14ac:dyDescent="0.3">
      <c r="A66" s="2">
        <f t="shared" si="0"/>
        <v>65</v>
      </c>
      <c r="B66" s="3" t="s">
        <v>112</v>
      </c>
      <c r="C66" s="3" t="s">
        <v>131</v>
      </c>
      <c r="D66" s="3" t="s">
        <v>117</v>
      </c>
      <c r="E66" s="3" t="s">
        <v>118</v>
      </c>
      <c r="F66" s="4">
        <v>2000</v>
      </c>
      <c r="G66" s="5" t="s">
        <v>132</v>
      </c>
      <c r="H66" s="3" t="s">
        <v>18</v>
      </c>
      <c r="I66" s="6"/>
      <c r="J66" s="7">
        <v>46307</v>
      </c>
      <c r="K66" s="3"/>
      <c r="L66" s="6"/>
    </row>
    <row r="67" spans="1:12" x14ac:dyDescent="0.3">
      <c r="A67" s="2">
        <f t="shared" si="0"/>
        <v>66</v>
      </c>
      <c r="B67" s="3" t="s">
        <v>112</v>
      </c>
      <c r="C67" s="3" t="s">
        <v>133</v>
      </c>
      <c r="D67" s="3" t="s">
        <v>31</v>
      </c>
      <c r="E67" s="3" t="s">
        <v>114</v>
      </c>
      <c r="F67" s="4">
        <v>2000</v>
      </c>
      <c r="G67" s="5" t="s">
        <v>134</v>
      </c>
      <c r="H67" s="3" t="s">
        <v>18</v>
      </c>
      <c r="I67" s="6"/>
      <c r="J67" s="7">
        <v>46307</v>
      </c>
      <c r="K67" s="3"/>
      <c r="L67" s="6"/>
    </row>
    <row r="68" spans="1:12" x14ac:dyDescent="0.3">
      <c r="A68" s="2">
        <f t="shared" si="0"/>
        <v>67</v>
      </c>
      <c r="B68" s="3" t="s">
        <v>112</v>
      </c>
      <c r="C68" s="3" t="s">
        <v>135</v>
      </c>
      <c r="D68" s="3" t="s">
        <v>25</v>
      </c>
      <c r="E68" s="3" t="s">
        <v>121</v>
      </c>
      <c r="F68" s="4"/>
      <c r="G68" s="5" t="s">
        <v>136</v>
      </c>
      <c r="H68" s="3" t="s">
        <v>52</v>
      </c>
      <c r="I68" s="6" t="s">
        <v>100</v>
      </c>
      <c r="J68" s="7">
        <v>46307</v>
      </c>
      <c r="K68" s="3"/>
      <c r="L68" s="6"/>
    </row>
    <row r="69" spans="1:12" x14ac:dyDescent="0.3">
      <c r="A69" s="2">
        <f t="shared" si="0"/>
        <v>68</v>
      </c>
      <c r="B69" s="3" t="s">
        <v>137</v>
      </c>
      <c r="C69" s="3" t="s">
        <v>138</v>
      </c>
      <c r="D69" s="3" t="s">
        <v>31</v>
      </c>
      <c r="E69" s="3">
        <v>1672</v>
      </c>
      <c r="F69" s="4">
        <v>2009</v>
      </c>
      <c r="G69" s="5" t="s">
        <v>139</v>
      </c>
      <c r="H69" s="3" t="s">
        <v>18</v>
      </c>
      <c r="I69" s="6"/>
      <c r="J69" s="7">
        <v>46310</v>
      </c>
      <c r="K69" s="3"/>
      <c r="L69" s="6"/>
    </row>
    <row r="70" spans="1:12" x14ac:dyDescent="0.3">
      <c r="A70" s="2">
        <f t="shared" si="0"/>
        <v>69</v>
      </c>
      <c r="B70" s="3" t="s">
        <v>137</v>
      </c>
      <c r="C70" s="3" t="s">
        <v>140</v>
      </c>
      <c r="D70" s="3" t="s">
        <v>31</v>
      </c>
      <c r="E70" s="3">
        <v>1672</v>
      </c>
      <c r="F70" s="4">
        <v>2009</v>
      </c>
      <c r="G70" s="5" t="s">
        <v>141</v>
      </c>
      <c r="H70" s="3" t="s">
        <v>18</v>
      </c>
      <c r="I70" s="6"/>
      <c r="J70" s="7">
        <v>46310</v>
      </c>
      <c r="K70" s="3"/>
      <c r="L70" s="6"/>
    </row>
    <row r="71" spans="1:12" x14ac:dyDescent="0.3">
      <c r="A71" s="2">
        <f t="shared" si="0"/>
        <v>70</v>
      </c>
      <c r="B71" s="3" t="s">
        <v>137</v>
      </c>
      <c r="C71" s="3" t="s">
        <v>142</v>
      </c>
      <c r="D71" s="3" t="s">
        <v>31</v>
      </c>
      <c r="E71" s="3">
        <v>1672</v>
      </c>
      <c r="F71" s="4">
        <v>2009</v>
      </c>
      <c r="G71" s="5" t="s">
        <v>143</v>
      </c>
      <c r="H71" s="3" t="s">
        <v>52</v>
      </c>
      <c r="I71" s="6" t="s">
        <v>144</v>
      </c>
      <c r="J71" s="7">
        <v>46310</v>
      </c>
      <c r="K71" s="3"/>
      <c r="L71" s="6"/>
    </row>
    <row r="72" spans="1:12" x14ac:dyDescent="0.3">
      <c r="A72" s="2">
        <f t="shared" si="0"/>
        <v>71</v>
      </c>
      <c r="B72" s="3" t="s">
        <v>145</v>
      </c>
      <c r="C72" s="3" t="s">
        <v>146</v>
      </c>
      <c r="D72" s="3" t="s">
        <v>31</v>
      </c>
      <c r="E72" s="3" t="s">
        <v>147</v>
      </c>
      <c r="F72" s="4"/>
      <c r="G72" s="5" t="s">
        <v>148</v>
      </c>
      <c r="H72" s="3" t="s">
        <v>89</v>
      </c>
      <c r="I72" s="6" t="s">
        <v>149</v>
      </c>
      <c r="J72" s="7"/>
      <c r="K72" s="3"/>
      <c r="L72" s="6"/>
    </row>
    <row r="73" spans="1:12" x14ac:dyDescent="0.3">
      <c r="A73" s="2">
        <f t="shared" ref="A73:A102" si="1">IF(B73="","",ROW()-1)</f>
        <v>72</v>
      </c>
      <c r="B73" s="3" t="s">
        <v>145</v>
      </c>
      <c r="C73" s="3" t="s">
        <v>150</v>
      </c>
      <c r="D73" s="3" t="s">
        <v>31</v>
      </c>
      <c r="E73" s="3" t="s">
        <v>147</v>
      </c>
      <c r="F73" s="4"/>
      <c r="G73" s="5" t="s">
        <v>151</v>
      </c>
      <c r="H73" s="3" t="s">
        <v>89</v>
      </c>
      <c r="I73" s="6" t="s">
        <v>152</v>
      </c>
      <c r="J73" s="7"/>
      <c r="K73" s="3"/>
      <c r="L73" s="6"/>
    </row>
    <row r="74" spans="1:12" x14ac:dyDescent="0.3">
      <c r="A74" s="2">
        <f t="shared" si="1"/>
        <v>73</v>
      </c>
      <c r="B74" s="3" t="s">
        <v>145</v>
      </c>
      <c r="C74" s="3" t="s">
        <v>153</v>
      </c>
      <c r="D74" s="3" t="s">
        <v>154</v>
      </c>
      <c r="E74" s="3" t="s">
        <v>155</v>
      </c>
      <c r="F74" s="4"/>
      <c r="G74" s="5" t="s">
        <v>156</v>
      </c>
      <c r="H74" s="3" t="s">
        <v>18</v>
      </c>
      <c r="I74" s="6"/>
      <c r="J74" s="7"/>
      <c r="K74" s="3"/>
      <c r="L74" s="6"/>
    </row>
    <row r="75" spans="1:12" x14ac:dyDescent="0.3">
      <c r="A75" s="2">
        <f t="shared" si="1"/>
        <v>74</v>
      </c>
      <c r="B75" s="3" t="s">
        <v>145</v>
      </c>
      <c r="C75" s="3" t="s">
        <v>157</v>
      </c>
      <c r="D75" s="3" t="s">
        <v>31</v>
      </c>
      <c r="E75" s="3" t="s">
        <v>147</v>
      </c>
      <c r="F75" s="4"/>
      <c r="G75" s="5" t="s">
        <v>158</v>
      </c>
      <c r="H75" s="3" t="s">
        <v>18</v>
      </c>
      <c r="I75" s="6"/>
      <c r="J75" s="7"/>
      <c r="K75" s="3"/>
      <c r="L75" s="6"/>
    </row>
    <row r="76" spans="1:12" x14ac:dyDescent="0.3">
      <c r="A76" s="2">
        <f t="shared" si="1"/>
        <v>75</v>
      </c>
      <c r="B76" s="3" t="s">
        <v>145</v>
      </c>
      <c r="C76" s="3" t="s">
        <v>159</v>
      </c>
      <c r="D76" s="3" t="s">
        <v>160</v>
      </c>
      <c r="E76" s="3">
        <v>850</v>
      </c>
      <c r="F76" s="4"/>
      <c r="G76" s="5" t="s">
        <v>161</v>
      </c>
      <c r="H76" s="3" t="s">
        <v>18</v>
      </c>
      <c r="I76" s="6"/>
      <c r="J76" s="7"/>
      <c r="K76" s="3"/>
      <c r="L76" s="6"/>
    </row>
    <row r="77" spans="1:12" x14ac:dyDescent="0.3">
      <c r="A77" s="2">
        <f t="shared" si="1"/>
        <v>76</v>
      </c>
      <c r="B77" s="3" t="s">
        <v>145</v>
      </c>
      <c r="C77" s="3" t="s">
        <v>162</v>
      </c>
      <c r="D77" s="3" t="s">
        <v>160</v>
      </c>
      <c r="E77" s="3">
        <v>850</v>
      </c>
      <c r="F77" s="4"/>
      <c r="G77" s="5" t="s">
        <v>163</v>
      </c>
      <c r="H77" s="3" t="s">
        <v>18</v>
      </c>
      <c r="I77" s="6"/>
      <c r="J77" s="7"/>
      <c r="K77" s="3"/>
      <c r="L77" s="6"/>
    </row>
    <row r="78" spans="1:12" x14ac:dyDescent="0.3">
      <c r="A78" s="2">
        <f t="shared" si="1"/>
        <v>77</v>
      </c>
      <c r="B78" s="3" t="s">
        <v>145</v>
      </c>
      <c r="C78" s="3" t="s">
        <v>164</v>
      </c>
      <c r="D78" s="3" t="s">
        <v>160</v>
      </c>
      <c r="E78" s="3">
        <v>850</v>
      </c>
      <c r="F78" s="4"/>
      <c r="G78" s="5" t="s">
        <v>165</v>
      </c>
      <c r="H78" s="3" t="s">
        <v>18</v>
      </c>
      <c r="I78" s="6"/>
      <c r="J78" s="7"/>
      <c r="K78" s="3"/>
      <c r="L78" s="6"/>
    </row>
    <row r="79" spans="1:12" x14ac:dyDescent="0.3">
      <c r="A79" s="2">
        <f t="shared" si="1"/>
        <v>78</v>
      </c>
      <c r="B79" s="3" t="s">
        <v>145</v>
      </c>
      <c r="C79" s="3" t="s">
        <v>166</v>
      </c>
      <c r="D79" s="3" t="s">
        <v>154</v>
      </c>
      <c r="E79" s="3" t="s">
        <v>167</v>
      </c>
      <c r="F79" s="4"/>
      <c r="G79" s="5" t="s">
        <v>168</v>
      </c>
      <c r="H79" s="3" t="s">
        <v>52</v>
      </c>
      <c r="I79" s="6" t="s">
        <v>169</v>
      </c>
      <c r="J79" s="7"/>
      <c r="K79" s="3"/>
      <c r="L79" s="6"/>
    </row>
    <row r="80" spans="1:12" x14ac:dyDescent="0.3">
      <c r="A80" s="2">
        <f t="shared" si="1"/>
        <v>79</v>
      </c>
      <c r="B80" s="3" t="s">
        <v>145</v>
      </c>
      <c r="C80" s="3" t="s">
        <v>170</v>
      </c>
      <c r="D80" s="3" t="s">
        <v>154</v>
      </c>
      <c r="E80" s="3" t="s">
        <v>167</v>
      </c>
      <c r="F80" s="4"/>
      <c r="G80" s="5" t="s">
        <v>171</v>
      </c>
      <c r="H80" s="3" t="s">
        <v>52</v>
      </c>
      <c r="I80" s="6" t="s">
        <v>172</v>
      </c>
      <c r="J80" s="7"/>
      <c r="K80" s="3"/>
      <c r="L80" s="6"/>
    </row>
    <row r="81" spans="1:12" x14ac:dyDescent="0.3">
      <c r="A81" s="2">
        <f t="shared" si="1"/>
        <v>80</v>
      </c>
      <c r="B81" s="3" t="s">
        <v>145</v>
      </c>
      <c r="C81" s="3" t="s">
        <v>173</v>
      </c>
      <c r="D81" s="3" t="s">
        <v>31</v>
      </c>
      <c r="E81" s="3" t="s">
        <v>147</v>
      </c>
      <c r="F81" s="4"/>
      <c r="G81" s="5" t="s">
        <v>174</v>
      </c>
      <c r="H81" s="3" t="s">
        <v>89</v>
      </c>
      <c r="I81" s="6" t="s">
        <v>149</v>
      </c>
      <c r="J81" s="7"/>
      <c r="K81" s="3"/>
      <c r="L81" s="6"/>
    </row>
    <row r="82" spans="1:12" x14ac:dyDescent="0.3">
      <c r="A82" s="2">
        <f t="shared" si="1"/>
        <v>81</v>
      </c>
      <c r="B82" s="3" t="s">
        <v>145</v>
      </c>
      <c r="C82" s="3" t="s">
        <v>175</v>
      </c>
      <c r="D82" s="3" t="s">
        <v>31</v>
      </c>
      <c r="E82" s="3" t="s">
        <v>147</v>
      </c>
      <c r="F82" s="4"/>
      <c r="G82" s="5" t="s">
        <v>176</v>
      </c>
      <c r="H82" s="3" t="s">
        <v>18</v>
      </c>
      <c r="I82" s="6"/>
      <c r="J82" s="7"/>
      <c r="K82" s="3"/>
      <c r="L82" s="6"/>
    </row>
    <row r="83" spans="1:12" x14ac:dyDescent="0.3">
      <c r="A83" s="2">
        <f t="shared" si="1"/>
        <v>82</v>
      </c>
      <c r="B83" s="3" t="s">
        <v>145</v>
      </c>
      <c r="C83" s="3" t="s">
        <v>177</v>
      </c>
      <c r="D83" s="3" t="s">
        <v>31</v>
      </c>
      <c r="E83" s="3" t="s">
        <v>147</v>
      </c>
      <c r="F83" s="4"/>
      <c r="G83" s="5" t="s">
        <v>178</v>
      </c>
      <c r="H83" s="3" t="s">
        <v>89</v>
      </c>
      <c r="I83" s="6" t="s">
        <v>149</v>
      </c>
      <c r="J83" s="7"/>
      <c r="K83" s="3"/>
      <c r="L83" s="6"/>
    </row>
    <row r="84" spans="1:12" x14ac:dyDescent="0.3">
      <c r="A84" s="2">
        <f t="shared" si="1"/>
        <v>83</v>
      </c>
      <c r="B84" s="3" t="s">
        <v>145</v>
      </c>
      <c r="C84" s="3" t="s">
        <v>179</v>
      </c>
      <c r="D84" s="3" t="s">
        <v>31</v>
      </c>
      <c r="E84" s="3" t="s">
        <v>147</v>
      </c>
      <c r="F84" s="4"/>
      <c r="G84" s="5" t="s">
        <v>180</v>
      </c>
      <c r="H84" s="3" t="s">
        <v>18</v>
      </c>
      <c r="I84" s="6"/>
      <c r="J84" s="7"/>
      <c r="K84" s="3"/>
      <c r="L84" s="6"/>
    </row>
    <row r="85" spans="1:12" x14ac:dyDescent="0.3">
      <c r="A85" s="2">
        <f t="shared" si="1"/>
        <v>84</v>
      </c>
      <c r="B85" s="3" t="s">
        <v>145</v>
      </c>
      <c r="C85" s="3" t="s">
        <v>181</v>
      </c>
      <c r="D85" s="3" t="s">
        <v>31</v>
      </c>
      <c r="E85" s="3" t="s">
        <v>147</v>
      </c>
      <c r="F85" s="4"/>
      <c r="G85" s="5" t="s">
        <v>182</v>
      </c>
      <c r="H85" s="3" t="s">
        <v>89</v>
      </c>
      <c r="I85" s="6" t="s">
        <v>149</v>
      </c>
      <c r="J85" s="7"/>
      <c r="K85" s="3"/>
      <c r="L85" s="6"/>
    </row>
    <row r="86" spans="1:12" x14ac:dyDescent="0.3">
      <c r="A86" s="2">
        <f t="shared" si="1"/>
        <v>85</v>
      </c>
      <c r="B86" s="3" t="s">
        <v>145</v>
      </c>
      <c r="C86" s="3" t="s">
        <v>183</v>
      </c>
      <c r="D86" s="3" t="s">
        <v>31</v>
      </c>
      <c r="E86" s="3" t="s">
        <v>147</v>
      </c>
      <c r="F86" s="4"/>
      <c r="G86" s="5" t="s">
        <v>184</v>
      </c>
      <c r="H86" s="3" t="s">
        <v>18</v>
      </c>
      <c r="I86" s="6"/>
      <c r="J86" s="7"/>
      <c r="K86" s="3"/>
      <c r="L86" s="6"/>
    </row>
    <row r="87" spans="1:12" x14ac:dyDescent="0.3">
      <c r="A87" s="2">
        <f t="shared" si="1"/>
        <v>86</v>
      </c>
      <c r="B87" s="3" t="s">
        <v>145</v>
      </c>
      <c r="C87" s="3" t="s">
        <v>185</v>
      </c>
      <c r="D87" s="3" t="s">
        <v>31</v>
      </c>
      <c r="E87" s="3" t="s">
        <v>147</v>
      </c>
      <c r="F87" s="4"/>
      <c r="G87" s="5" t="s">
        <v>186</v>
      </c>
      <c r="H87" s="3" t="s">
        <v>52</v>
      </c>
      <c r="I87" s="6" t="s">
        <v>172</v>
      </c>
      <c r="J87" s="7"/>
      <c r="K87" s="3"/>
      <c r="L87" s="6"/>
    </row>
    <row r="88" spans="1:12" x14ac:dyDescent="0.3">
      <c r="A88" s="2">
        <f t="shared" si="1"/>
        <v>87</v>
      </c>
      <c r="B88" s="3" t="s">
        <v>145</v>
      </c>
      <c r="C88" s="3" t="s">
        <v>187</v>
      </c>
      <c r="D88" s="3" t="s">
        <v>31</v>
      </c>
      <c r="E88" s="3" t="s">
        <v>147</v>
      </c>
      <c r="F88" s="4"/>
      <c r="G88" s="5" t="s">
        <v>188</v>
      </c>
      <c r="H88" s="3" t="s">
        <v>89</v>
      </c>
      <c r="I88" s="6" t="s">
        <v>149</v>
      </c>
      <c r="J88" s="7"/>
      <c r="K88" s="3"/>
      <c r="L88" s="6"/>
    </row>
    <row r="89" spans="1:12" x14ac:dyDescent="0.3">
      <c r="A89" s="2">
        <f t="shared" si="1"/>
        <v>88</v>
      </c>
      <c r="B89" s="3" t="s">
        <v>145</v>
      </c>
      <c r="C89" s="3" t="s">
        <v>189</v>
      </c>
      <c r="D89" s="3" t="s">
        <v>31</v>
      </c>
      <c r="E89" s="3" t="s">
        <v>147</v>
      </c>
      <c r="F89" s="4"/>
      <c r="G89" s="5" t="s">
        <v>190</v>
      </c>
      <c r="H89" s="3" t="s">
        <v>18</v>
      </c>
      <c r="I89" s="6" t="s">
        <v>191</v>
      </c>
      <c r="J89" s="7"/>
      <c r="K89" s="3"/>
      <c r="L89" s="6"/>
    </row>
    <row r="90" spans="1:12" x14ac:dyDescent="0.3">
      <c r="A90" s="2">
        <f t="shared" si="1"/>
        <v>89</v>
      </c>
      <c r="B90" s="3" t="s">
        <v>137</v>
      </c>
      <c r="C90" s="3" t="s">
        <v>192</v>
      </c>
      <c r="D90" s="3" t="s">
        <v>193</v>
      </c>
      <c r="E90" s="3" t="s">
        <v>194</v>
      </c>
      <c r="F90" s="4">
        <v>2017</v>
      </c>
      <c r="G90" s="3" t="s">
        <v>195</v>
      </c>
      <c r="H90" s="3" t="s">
        <v>18</v>
      </c>
      <c r="I90" s="6"/>
      <c r="J90" s="7"/>
      <c r="K90" s="3"/>
      <c r="L90" s="6"/>
    </row>
    <row r="91" spans="1:12" x14ac:dyDescent="0.3">
      <c r="A91" s="2">
        <f t="shared" si="1"/>
        <v>90</v>
      </c>
      <c r="B91" s="3" t="s">
        <v>137</v>
      </c>
      <c r="C91" s="3" t="s">
        <v>196</v>
      </c>
      <c r="D91" s="3" t="s">
        <v>31</v>
      </c>
      <c r="E91" s="3">
        <v>11109</v>
      </c>
      <c r="F91" s="3">
        <v>2017</v>
      </c>
      <c r="G91" s="3" t="s">
        <v>197</v>
      </c>
      <c r="H91" s="3" t="s">
        <v>18</v>
      </c>
      <c r="I91" s="6"/>
      <c r="J91" s="7"/>
      <c r="K91" s="3"/>
      <c r="L91" s="6"/>
    </row>
    <row r="92" spans="1:12" x14ac:dyDescent="0.3">
      <c r="A92" s="2">
        <f t="shared" si="1"/>
        <v>91</v>
      </c>
      <c r="B92" s="3" t="s">
        <v>137</v>
      </c>
      <c r="C92" s="3" t="s">
        <v>198</v>
      </c>
      <c r="D92" s="3" t="s">
        <v>31</v>
      </c>
      <c r="E92" s="3">
        <v>11109</v>
      </c>
      <c r="F92" s="3">
        <v>2017</v>
      </c>
      <c r="G92" s="3" t="s">
        <v>199</v>
      </c>
      <c r="H92" s="3" t="s">
        <v>52</v>
      </c>
      <c r="I92" s="6"/>
      <c r="J92" s="7"/>
      <c r="K92" s="3"/>
      <c r="L92" s="6"/>
    </row>
    <row r="93" spans="1:12" x14ac:dyDescent="0.3">
      <c r="A93" s="2">
        <f t="shared" si="1"/>
        <v>92</v>
      </c>
      <c r="B93" s="3" t="s">
        <v>137</v>
      </c>
      <c r="C93" s="3" t="s">
        <v>200</v>
      </c>
      <c r="D93" s="3" t="s">
        <v>31</v>
      </c>
      <c r="E93" s="3">
        <v>11109</v>
      </c>
      <c r="F93" s="3">
        <v>2017</v>
      </c>
      <c r="G93" s="3" t="s">
        <v>201</v>
      </c>
      <c r="H93" s="3" t="s">
        <v>18</v>
      </c>
      <c r="I93" s="6"/>
      <c r="J93" s="7"/>
      <c r="K93" s="3"/>
      <c r="L93" s="6"/>
    </row>
    <row r="94" spans="1:12" x14ac:dyDescent="0.3">
      <c r="A94" s="2">
        <f t="shared" si="1"/>
        <v>93</v>
      </c>
      <c r="B94" s="3" t="s">
        <v>137</v>
      </c>
      <c r="C94" s="3" t="s">
        <v>202</v>
      </c>
      <c r="D94" s="3" t="s">
        <v>193</v>
      </c>
      <c r="E94" s="3" t="s">
        <v>194</v>
      </c>
      <c r="F94" s="3">
        <v>2017</v>
      </c>
      <c r="G94" s="3" t="s">
        <v>203</v>
      </c>
      <c r="H94" s="3" t="s">
        <v>18</v>
      </c>
      <c r="I94" s="6"/>
      <c r="J94" s="7"/>
      <c r="K94" s="3"/>
      <c r="L94" s="6"/>
    </row>
    <row r="95" spans="1:12" x14ac:dyDescent="0.3">
      <c r="A95" s="2">
        <f t="shared" si="1"/>
        <v>94</v>
      </c>
      <c r="B95" s="3" t="s">
        <v>137</v>
      </c>
      <c r="C95" s="3" t="s">
        <v>204</v>
      </c>
      <c r="D95" s="3" t="s">
        <v>31</v>
      </c>
      <c r="E95" s="3">
        <v>1672</v>
      </c>
      <c r="F95" s="3">
        <v>2009</v>
      </c>
      <c r="G95" s="3" t="s">
        <v>205</v>
      </c>
      <c r="H95" s="3" t="s">
        <v>18</v>
      </c>
      <c r="I95" s="6"/>
      <c r="J95" s="7"/>
      <c r="K95" s="3"/>
      <c r="L95" s="6"/>
    </row>
    <row r="96" spans="1:12" x14ac:dyDescent="0.3">
      <c r="A96" s="2">
        <f t="shared" si="1"/>
        <v>95</v>
      </c>
      <c r="B96" s="3" t="s">
        <v>137</v>
      </c>
      <c r="C96" s="3" t="s">
        <v>206</v>
      </c>
      <c r="D96" s="3" t="s">
        <v>31</v>
      </c>
      <c r="E96" s="3">
        <v>1672</v>
      </c>
      <c r="F96" s="3">
        <v>2009</v>
      </c>
      <c r="G96" s="15" t="s">
        <v>219</v>
      </c>
      <c r="H96" s="3" t="s">
        <v>18</v>
      </c>
      <c r="I96" s="6"/>
      <c r="J96" s="7"/>
      <c r="K96" s="3"/>
      <c r="L96" s="6"/>
    </row>
    <row r="97" spans="1:12" x14ac:dyDescent="0.3">
      <c r="A97" s="2">
        <f t="shared" si="1"/>
        <v>96</v>
      </c>
      <c r="B97" s="3" t="s">
        <v>137</v>
      </c>
      <c r="C97" s="3" t="s">
        <v>207</v>
      </c>
      <c r="D97" s="3" t="s">
        <v>31</v>
      </c>
      <c r="E97" s="3">
        <v>1672</v>
      </c>
      <c r="F97" s="3">
        <v>2009</v>
      </c>
      <c r="G97" s="3" t="s">
        <v>208</v>
      </c>
      <c r="H97" s="9" t="s">
        <v>52</v>
      </c>
      <c r="I97" s="6"/>
      <c r="J97" s="7"/>
      <c r="K97" s="3"/>
      <c r="L97" s="6"/>
    </row>
    <row r="98" spans="1:12" x14ac:dyDescent="0.3">
      <c r="A98" s="2">
        <f t="shared" si="1"/>
        <v>97</v>
      </c>
      <c r="B98" s="3" t="s">
        <v>137</v>
      </c>
      <c r="C98" s="3" t="s">
        <v>209</v>
      </c>
      <c r="D98" s="3" t="s">
        <v>31</v>
      </c>
      <c r="E98" s="3">
        <v>1672</v>
      </c>
      <c r="F98" s="3">
        <v>2009</v>
      </c>
      <c r="G98" s="3" t="s">
        <v>210</v>
      </c>
      <c r="H98" s="9" t="s">
        <v>52</v>
      </c>
      <c r="I98" s="6"/>
      <c r="J98" s="7"/>
      <c r="K98" s="3"/>
      <c r="L98" s="6"/>
    </row>
    <row r="99" spans="1:12" x14ac:dyDescent="0.3">
      <c r="A99" s="2">
        <f t="shared" si="1"/>
        <v>98</v>
      </c>
      <c r="B99" s="3" t="s">
        <v>137</v>
      </c>
      <c r="C99" s="3" t="s">
        <v>211</v>
      </c>
      <c r="D99" s="3" t="s">
        <v>31</v>
      </c>
      <c r="E99" s="3">
        <v>1672</v>
      </c>
      <c r="F99" s="3">
        <v>2009</v>
      </c>
      <c r="G99" s="3" t="s">
        <v>212</v>
      </c>
      <c r="H99" s="9" t="s">
        <v>18</v>
      </c>
      <c r="I99" s="6"/>
      <c r="J99" s="7"/>
      <c r="K99" s="3"/>
      <c r="L99" s="6"/>
    </row>
    <row r="100" spans="1:12" x14ac:dyDescent="0.3">
      <c r="A100" s="2">
        <f t="shared" si="1"/>
        <v>99</v>
      </c>
      <c r="B100" s="3" t="s">
        <v>137</v>
      </c>
      <c r="C100" s="3" t="s">
        <v>213</v>
      </c>
      <c r="D100" s="3" t="s">
        <v>31</v>
      </c>
      <c r="E100" s="3">
        <v>1672</v>
      </c>
      <c r="F100" s="3">
        <v>2009</v>
      </c>
      <c r="G100" s="3" t="s">
        <v>214</v>
      </c>
      <c r="H100" s="9" t="s">
        <v>18</v>
      </c>
      <c r="I100" s="6"/>
      <c r="J100" s="7"/>
      <c r="K100" s="3"/>
      <c r="L100" s="6"/>
    </row>
    <row r="101" spans="1:12" x14ac:dyDescent="0.3">
      <c r="A101" s="2" t="str">
        <f t="shared" si="1"/>
        <v/>
      </c>
      <c r="B101" s="3"/>
      <c r="C101" s="3"/>
      <c r="D101" s="3"/>
      <c r="E101" s="3"/>
      <c r="F101" s="3"/>
      <c r="G101" s="3"/>
      <c r="H101" s="3" t="s">
        <v>12</v>
      </c>
      <c r="I101" s="6"/>
      <c r="J101" s="7"/>
      <c r="K101" s="3"/>
      <c r="L101" s="6"/>
    </row>
    <row r="102" spans="1:12" x14ac:dyDescent="0.3">
      <c r="A102" s="2" t="str">
        <f t="shared" si="1"/>
        <v/>
      </c>
      <c r="B102" s="3"/>
      <c r="C102" s="3"/>
      <c r="D102" s="3"/>
      <c r="E102" s="3"/>
      <c r="F102" s="3"/>
      <c r="G102" s="3"/>
      <c r="H102" s="3" t="s">
        <v>12</v>
      </c>
      <c r="I102" s="6"/>
      <c r="J102" s="7"/>
      <c r="K102" s="3"/>
      <c r="L102" s="6"/>
    </row>
  </sheetData>
  <autoFilter ref="A1:J102" xr:uid="{00000000-0009-0000-0000-000000000000}"/>
  <conditionalFormatting sqref="C2:C102">
    <cfRule type="expression" dxfId="3" priority="13">
      <formula>AND($C2&lt;&gt;"",COUNTIF($C$2:$C$102,$C2)&gt;1)</formula>
    </cfRule>
  </conditionalFormatting>
  <conditionalFormatting sqref="H2:H102">
    <cfRule type="cellIs" dxfId="2" priority="2" operator="equal">
      <formula>"Funciona bien"</formula>
    </cfRule>
    <cfRule type="cellIs" dxfId="1" priority="3" operator="equal">
      <formula>"Funciona parcialmente"</formula>
    </cfRule>
    <cfRule type="cellIs" dxfId="0" priority="4" operator="equal">
      <formula>"No funciona"</formula>
    </cfRule>
  </conditionalFormatting>
  <dataValidations count="2">
    <dataValidation type="list" allowBlank="1" sqref="B2:B102" xr:uid="{00000000-0002-0000-0000-000000000000}">
      <formula1>"Osciloscopio digital,Osciloscopio analógico,Generador de funciones digital,Generador de funciones analógico,Fuente de alimentación,Multímetro"</formula1>
      <formula2>0</formula2>
    </dataValidation>
    <dataValidation type="list" allowBlank="1" sqref="H2:H102" xr:uid="{00000000-0002-0000-0000-000001000000}">
      <formula1>"Funciona bien,Funciona parcialmente,No funciona,Sin revisar"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Normal="100" workbookViewId="0">
      <selection activeCell="A5" sqref="A5"/>
    </sheetView>
  </sheetViews>
  <sheetFormatPr defaultColWidth="8.77734375" defaultRowHeight="14.4" x14ac:dyDescent="0.3"/>
  <cols>
    <col min="1" max="1" width="36" customWidth="1"/>
    <col min="2" max="6" width="20" customWidth="1"/>
  </cols>
  <sheetData>
    <row r="1" spans="1:6" ht="27.75" customHeight="1" x14ac:dyDescent="0.3">
      <c r="A1" s="10" t="s">
        <v>215</v>
      </c>
      <c r="B1" s="10" t="s">
        <v>216</v>
      </c>
      <c r="C1" s="10" t="s">
        <v>18</v>
      </c>
      <c r="D1" s="10" t="s">
        <v>89</v>
      </c>
      <c r="E1" s="10" t="s">
        <v>52</v>
      </c>
      <c r="F1" s="10" t="s">
        <v>12</v>
      </c>
    </row>
    <row r="2" spans="1:6" x14ac:dyDescent="0.3">
      <c r="A2" s="11" t="s">
        <v>10</v>
      </c>
      <c r="B2" s="2">
        <f>COUNTIFS(Inventario!$B$2:$B$102,$A2,Inventario!$D$2:$D$102,"&lt;&gt;")</f>
        <v>18</v>
      </c>
      <c r="C2" s="2">
        <f>COUNTIFS(Inventario!$B$2:$B$102,$A2,Inventario!$H$2:$H$102,C$1,Inventario!$D$2:$D$102,"&lt;&gt;")</f>
        <v>1</v>
      </c>
      <c r="D2" s="2">
        <f>COUNTIFS(Inventario!$B$2:$B$102,$A2,Inventario!$H$2:$H$102,D$1,Inventario!$D$2:$D$102,"&lt;&gt;")</f>
        <v>0</v>
      </c>
      <c r="E2" s="2">
        <f>COUNTIFS(Inventario!$B$2:$B$102,$A2,Inventario!$H$2:$H$102,E$1,Inventario!$D$2:$D$102,"&lt;&gt;")</f>
        <v>1</v>
      </c>
      <c r="F2" s="2">
        <f>COUNTIFS(Inventario!$B$2:$B$102,$A2,Inventario!$H$2:$H$102,F$1,Inventario!$D$2:$D$102,"&lt;&gt;")</f>
        <v>16</v>
      </c>
    </row>
    <row r="3" spans="1:6" x14ac:dyDescent="0.3">
      <c r="A3" s="11" t="s">
        <v>19</v>
      </c>
      <c r="B3" s="2">
        <f>COUNTIFS(Inventario!$B$2:$B$102,$A3,Inventario!$D$2:$D$102,"&lt;&gt;")</f>
        <v>18</v>
      </c>
      <c r="C3" s="2">
        <f>COUNTIFS(Inventario!$B$2:$B$102,$A3,Inventario!$H$2:$H$102,C$1,Inventario!$D$2:$D$102,"&lt;&gt;")</f>
        <v>15</v>
      </c>
      <c r="D3" s="2">
        <f>COUNTIFS(Inventario!$B$2:$B$102,$A3,Inventario!$H$2:$H$102,D$1,Inventario!$D$2:$D$102,"&lt;&gt;")</f>
        <v>0</v>
      </c>
      <c r="E3" s="2">
        <f>COUNTIFS(Inventario!$B$2:$B$102,$A3,Inventario!$H$2:$H$102,E$1,Inventario!$D$2:$D$102,"&lt;&gt;")</f>
        <v>3</v>
      </c>
      <c r="F3" s="2">
        <f>COUNTIFS(Inventario!$B$2:$B$102,$A3,Inventario!$H$2:$H$102,F$1,Inventario!$D$2:$D$102,"&lt;&gt;")</f>
        <v>0</v>
      </c>
    </row>
    <row r="4" spans="1:6" x14ac:dyDescent="0.3">
      <c r="A4" s="11" t="s">
        <v>64</v>
      </c>
      <c r="B4" s="2">
        <f>COUNTIFS(Inventario!$B$2:$B$102,$A4,Inventario!$D$2:$D$102,"&lt;&gt;")</f>
        <v>18</v>
      </c>
      <c r="C4" s="2">
        <f>COUNTIFS(Inventario!$B$2:$B$102,$A4,Inventario!$H$2:$H$102,C$1,Inventario!$D$2:$D$102,"&lt;&gt;")</f>
        <v>10</v>
      </c>
      <c r="D4" s="2">
        <f>COUNTIFS(Inventario!$B$2:$B$102,$A4,Inventario!$H$2:$H$102,D$1,Inventario!$D$2:$D$102,"&lt;&gt;")</f>
        <v>2</v>
      </c>
      <c r="E4" s="2">
        <f>COUNTIFS(Inventario!$B$2:$B$102,$A4,Inventario!$H$2:$H$102,E$1,Inventario!$D$2:$D$102,"&lt;&gt;")</f>
        <v>6</v>
      </c>
      <c r="F4" s="2">
        <f>COUNTIFS(Inventario!$B$2:$B$102,$A4,Inventario!$H$2:$H$102,F$1,Inventario!$D$2:$D$102,"&lt;&gt;")</f>
        <v>0</v>
      </c>
    </row>
    <row r="5" spans="1:6" x14ac:dyDescent="0.3">
      <c r="A5" s="11" t="s">
        <v>112</v>
      </c>
      <c r="B5" s="2">
        <f>COUNTIFS(Inventario!$B$2:$B$102,$A5,Inventario!$D$2:$D$102,"&lt;&gt;")</f>
        <v>10</v>
      </c>
      <c r="C5" s="2">
        <f>COUNTIFS(Inventario!$B$2:$B$102,$A5,Inventario!$H$2:$H$102,C$1,Inventario!$D$2:$D$102,"&lt;&gt;")</f>
        <v>7</v>
      </c>
      <c r="D5" s="2">
        <f>COUNTIFS(Inventario!$B$2:$B$102,$A5,Inventario!$H$2:$H$102,D$1,Inventario!$D$2:$D$102,"&lt;&gt;")</f>
        <v>1</v>
      </c>
      <c r="E5" s="2">
        <f>COUNTIFS(Inventario!$B$2:$B$102,$A5,Inventario!$H$2:$H$102,E$1,Inventario!$D$2:$D$102,"&lt;&gt;")</f>
        <v>2</v>
      </c>
      <c r="F5" s="2">
        <f>COUNTIFS(Inventario!$B$2:$B$102,$A5,Inventario!$H$2:$H$102,F$1,Inventario!$D$2:$D$102,"&lt;&gt;")</f>
        <v>0</v>
      </c>
    </row>
    <row r="6" spans="1:6" x14ac:dyDescent="0.3">
      <c r="A6" s="11" t="s">
        <v>137</v>
      </c>
      <c r="B6" s="2">
        <f>COUNTIFS(Inventario!$B$2:$B$102,$A6,Inventario!$D$2:$D$102,"&lt;&gt;")</f>
        <v>14</v>
      </c>
      <c r="C6" s="2">
        <f>COUNTIFS(Inventario!$B$2:$B$102,$A6,Inventario!$H$2:$H$102,C$1,Inventario!$D$2:$D$102,"&lt;&gt;")</f>
        <v>10</v>
      </c>
      <c r="D6" s="2">
        <f>COUNTIFS(Inventario!$B$2:$B$102,$A6,Inventario!$H$2:$H$102,D$1,Inventario!$D$2:$D$102,"&lt;&gt;")</f>
        <v>0</v>
      </c>
      <c r="E6" s="2">
        <f>COUNTIFS(Inventario!$B$2:$B$102,$A6,Inventario!$H$2:$H$102,E$1,Inventario!$D$2:$D$102,"&lt;&gt;")</f>
        <v>4</v>
      </c>
      <c r="F6" s="2">
        <f>COUNTIFS(Inventario!$B$2:$B$102,$A6,Inventario!$H$2:$H$102,F$1,Inventario!$D$2:$D$102,"&lt;&gt;")</f>
        <v>0</v>
      </c>
    </row>
    <row r="7" spans="1:6" x14ac:dyDescent="0.3">
      <c r="A7" s="11" t="s">
        <v>145</v>
      </c>
      <c r="B7" s="2">
        <f>COUNTIFS(Inventario!$B$2:$B$102,$A7,Inventario!$D$2:$D$102,"&lt;&gt;")</f>
        <v>18</v>
      </c>
      <c r="C7" s="2">
        <f>COUNTIFS(Inventario!$B$2:$B$102,$A7,Inventario!$H$2:$H$102,C$1,Inventario!$D$2:$D$102,"&lt;&gt;")</f>
        <v>9</v>
      </c>
      <c r="D7" s="2">
        <f>COUNTIFS(Inventario!$B$2:$B$102,$A7,Inventario!$H$2:$H$102,D$1,Inventario!$D$2:$D$102,"&lt;&gt;")</f>
        <v>6</v>
      </c>
      <c r="E7" s="2">
        <f>COUNTIFS(Inventario!$B$2:$B$102,$A7,Inventario!$H$2:$H$102,E$1,Inventario!$D$2:$D$102,"&lt;&gt;")</f>
        <v>3</v>
      </c>
      <c r="F7" s="2">
        <f>COUNTIFS(Inventario!$B$2:$B$102,$A7,Inventario!$H$2:$H$102,F$1,Inventario!$D$2:$D$102,"&lt;&gt;")</f>
        <v>0</v>
      </c>
    </row>
    <row r="8" spans="1:6" x14ac:dyDescent="0.3">
      <c r="A8" s="12" t="s">
        <v>217</v>
      </c>
      <c r="B8" s="13">
        <f>SUM(B2:B7)</f>
        <v>96</v>
      </c>
      <c r="C8" s="13">
        <f>SUM(C2:C7)</f>
        <v>52</v>
      </c>
      <c r="D8" s="13">
        <f>SUM(D2:D7)</f>
        <v>9</v>
      </c>
      <c r="E8" s="13">
        <f>SUM(E2:E7)</f>
        <v>19</v>
      </c>
      <c r="F8" s="13">
        <f>SUM(F2:F7)</f>
        <v>16</v>
      </c>
    </row>
    <row r="10" spans="1:6" x14ac:dyDescent="0.3">
      <c r="A10" s="14" t="s">
        <v>218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HERNANDEZ MORALES JOSE ALEJANDRO</cp:lastModifiedBy>
  <cp:revision>0</cp:revision>
  <dcterms:created xsi:type="dcterms:W3CDTF">2026-10-12T17:15:04Z</dcterms:created>
  <dcterms:modified xsi:type="dcterms:W3CDTF">2026-10-16T22:12:10Z</dcterms:modified>
  <dc:language>en-US</dc:language>
</cp:coreProperties>
</file>